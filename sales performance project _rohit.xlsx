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ROHIT VARRI\"/>
    </mc:Choice>
  </mc:AlternateContent>
  <xr:revisionPtr revIDLastSave="0" documentId="13_ncr:1_{9F8D5331-0ECB-4CAD-85DE-DAF3287F8405}"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pviot table" sheetId="7" r:id="rId2"/>
    <sheet name="Dashboard" sheetId="8" r:id="rId3"/>
    <sheet name="Clean data" sheetId="6" r:id="rId4"/>
  </sheets>
  <definedNames>
    <definedName name="Slicer_Category">#N/A</definedName>
    <definedName name="Slicer_Month">#N/A</definedName>
    <definedName name="Slicer_Region">#N/A</definedName>
    <definedName name="Slicer_Sales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47" i="6" l="1"/>
  <c r="I248" i="6"/>
  <c r="J248" i="6"/>
  <c r="M243"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K244" i="6"/>
  <c r="I243" i="6"/>
  <c r="L243" i="6"/>
  <c r="J243" i="6"/>
  <c r="H243" i="6"/>
  <c r="G243" i="6"/>
</calcChain>
</file>

<file path=xl/sharedStrings.xml><?xml version="1.0" encoding="utf-8"?>
<sst xmlns="http://schemas.openxmlformats.org/spreadsheetml/2006/main" count="3048" uniqueCount="395">
  <si>
    <t>Order_ID</t>
  </si>
  <si>
    <t>Month</t>
  </si>
  <si>
    <t>Region</t>
  </si>
  <si>
    <t>Category</t>
  </si>
  <si>
    <t>Salesperson</t>
  </si>
  <si>
    <t>Customer_Type</t>
  </si>
  <si>
    <t>Units_Sold</t>
  </si>
  <si>
    <t>Unit_Price_INR</t>
  </si>
  <si>
    <t>Total_Sales_INR</t>
  </si>
  <si>
    <t>Sales_Target_INR</t>
  </si>
  <si>
    <t>Discount_%</t>
  </si>
  <si>
    <t>Returns</t>
  </si>
  <si>
    <t>Profit_INR</t>
  </si>
  <si>
    <t>Last_Year_Sales_INR</t>
  </si>
  <si>
    <t>SLD2001</t>
  </si>
  <si>
    <t>Jan</t>
  </si>
  <si>
    <t>North</t>
  </si>
  <si>
    <t>Electronics</t>
  </si>
  <si>
    <t>Sneha Reddy</t>
  </si>
  <si>
    <t>Corporate Client</t>
  </si>
  <si>
    <t>SLD2002</t>
  </si>
  <si>
    <t>Clothing</t>
  </si>
  <si>
    <t>Rahul Singh</t>
  </si>
  <si>
    <t>SLD2003</t>
  </si>
  <si>
    <t>Furniture</t>
  </si>
  <si>
    <t>Vikram Patel</t>
  </si>
  <si>
    <t>Retail Store</t>
  </si>
  <si>
    <t>SLD2004</t>
  </si>
  <si>
    <t>Grocery</t>
  </si>
  <si>
    <t>Priya Sharma</t>
  </si>
  <si>
    <t>SLD2005</t>
  </si>
  <si>
    <t>SEP</t>
  </si>
  <si>
    <t>NORTH</t>
  </si>
  <si>
    <t>ELECTRONICS</t>
  </si>
  <si>
    <t>amit kumar</t>
  </si>
  <si>
    <t>Retail Stor</t>
  </si>
  <si>
    <t>SLD2006</t>
  </si>
  <si>
    <t>Sep</t>
  </si>
  <si>
    <t>South</t>
  </si>
  <si>
    <t>Online Customer</t>
  </si>
  <si>
    <t>SLD2007</t>
  </si>
  <si>
    <t>Jun</t>
  </si>
  <si>
    <t>SLD2008</t>
  </si>
  <si>
    <t>SLD2009</t>
  </si>
  <si>
    <t>SLD2010</t>
  </si>
  <si>
    <t>Sports</t>
  </si>
  <si>
    <t>Amit Kumar</t>
  </si>
  <si>
    <t>SLD2011</t>
  </si>
  <si>
    <t>East</t>
  </si>
  <si>
    <t>SLD2012</t>
  </si>
  <si>
    <t>SLD2013</t>
  </si>
  <si>
    <t>Aug</t>
  </si>
  <si>
    <t>east</t>
  </si>
  <si>
    <t>PRIYA SHARMA</t>
  </si>
  <si>
    <t>CORPORATE CLIENT</t>
  </si>
  <si>
    <t>SLD2014</t>
  </si>
  <si>
    <t>SLD2015</t>
  </si>
  <si>
    <t>Wholesale Dealer</t>
  </si>
  <si>
    <t>SLD2016</t>
  </si>
  <si>
    <t xml:space="preserve">mar </t>
  </si>
  <si>
    <t>West</t>
  </si>
  <si>
    <t>Government</t>
  </si>
  <si>
    <t>sld2017</t>
  </si>
  <si>
    <t>JAN</t>
  </si>
  <si>
    <t>SLD2018</t>
  </si>
  <si>
    <t>SLD2019</t>
  </si>
  <si>
    <t xml:space="preserve">west </t>
  </si>
  <si>
    <t>clothing</t>
  </si>
  <si>
    <t>AMIT KUMAR</t>
  </si>
  <si>
    <t>GOVERNMENT</t>
  </si>
  <si>
    <t>SLD2020</t>
  </si>
  <si>
    <t>SLD2021</t>
  </si>
  <si>
    <t>Feb</t>
  </si>
  <si>
    <t>SLD2022</t>
  </si>
  <si>
    <t xml:space="preserve">jun </t>
  </si>
  <si>
    <t>SOUTH</t>
  </si>
  <si>
    <t>Sneha</t>
  </si>
  <si>
    <t>WHOLESALE DEALER</t>
  </si>
  <si>
    <t>SLD2023</t>
  </si>
  <si>
    <t>Apr</t>
  </si>
  <si>
    <t>SLD2024</t>
  </si>
  <si>
    <t>APR</t>
  </si>
  <si>
    <t xml:space="preserve">South </t>
  </si>
  <si>
    <t xml:space="preserve">Clothing </t>
  </si>
  <si>
    <t>corporate client</t>
  </si>
  <si>
    <t>SLD2025</t>
  </si>
  <si>
    <t>Dec</t>
  </si>
  <si>
    <t>VIKRAM PATEL</t>
  </si>
  <si>
    <t>retail store</t>
  </si>
  <si>
    <t>SLD2026</t>
  </si>
  <si>
    <t>SLD2027</t>
  </si>
  <si>
    <t>SLD2028</t>
  </si>
  <si>
    <t>Oct</t>
  </si>
  <si>
    <t>south</t>
  </si>
  <si>
    <t>Electronicss</t>
  </si>
  <si>
    <t>vikram patel</t>
  </si>
  <si>
    <t>SLD2029</t>
  </si>
  <si>
    <t>feb</t>
  </si>
  <si>
    <t>furniture</t>
  </si>
  <si>
    <t>Rahul</t>
  </si>
  <si>
    <t>SLD2030</t>
  </si>
  <si>
    <t>aug</t>
  </si>
  <si>
    <t>FURNITURE</t>
  </si>
  <si>
    <t>Wholesale</t>
  </si>
  <si>
    <t>SLD2031</t>
  </si>
  <si>
    <t>May</t>
  </si>
  <si>
    <t>SNEHA REDDY</t>
  </si>
  <si>
    <t>wholesale dealer</t>
  </si>
  <si>
    <t>SLD2032</t>
  </si>
  <si>
    <t>MAR</t>
  </si>
  <si>
    <t>north</t>
  </si>
  <si>
    <t>Grocry</t>
  </si>
  <si>
    <t>Goverment</t>
  </si>
  <si>
    <t>SLD2033</t>
  </si>
  <si>
    <t>Nort</t>
  </si>
  <si>
    <t>SLD2034</t>
  </si>
  <si>
    <t>SLD2035</t>
  </si>
  <si>
    <t>GROCERY</t>
  </si>
  <si>
    <t>priya sharma</t>
  </si>
  <si>
    <t>SLD2036</t>
  </si>
  <si>
    <t>sld2037</t>
  </si>
  <si>
    <t>SLD2038</t>
  </si>
  <si>
    <t>SPORTS</t>
  </si>
  <si>
    <t>SLD2039</t>
  </si>
  <si>
    <t>SLD2040</t>
  </si>
  <si>
    <t>SLD2041</t>
  </si>
  <si>
    <t>Mar</t>
  </si>
  <si>
    <t>SLD2042</t>
  </si>
  <si>
    <t>SLD2043</t>
  </si>
  <si>
    <t>SLD2044</t>
  </si>
  <si>
    <t>apr</t>
  </si>
  <si>
    <t>SLD2045</t>
  </si>
  <si>
    <t>SLD2046</t>
  </si>
  <si>
    <t>SLD2047</t>
  </si>
  <si>
    <t>CLOTHING</t>
  </si>
  <si>
    <t>SLD2048</t>
  </si>
  <si>
    <t>SLD2049</t>
  </si>
  <si>
    <t>SLD2050</t>
  </si>
  <si>
    <t>EAST</t>
  </si>
  <si>
    <t>Vikram</t>
  </si>
  <si>
    <t>Onlne Customer</t>
  </si>
  <si>
    <t>SLD2051</t>
  </si>
  <si>
    <t>Jul</t>
  </si>
  <si>
    <t>SLD2052</t>
  </si>
  <si>
    <t>SLD 2053</t>
  </si>
  <si>
    <t>SLD2054</t>
  </si>
  <si>
    <t>SLD2055</t>
  </si>
  <si>
    <t>SLD2056</t>
  </si>
  <si>
    <t>SLD2057</t>
  </si>
  <si>
    <t>sld2058</t>
  </si>
  <si>
    <t>SLD2059</t>
  </si>
  <si>
    <t>sld2060</t>
  </si>
  <si>
    <t>SLD2061</t>
  </si>
  <si>
    <t>SLD2062</t>
  </si>
  <si>
    <t>SLD2063</t>
  </si>
  <si>
    <t>SLD2064</t>
  </si>
  <si>
    <t>SLD2065</t>
  </si>
  <si>
    <t>SLD2066</t>
  </si>
  <si>
    <t>dec</t>
  </si>
  <si>
    <t>Furnitur</t>
  </si>
  <si>
    <t>SLD2067</t>
  </si>
  <si>
    <t>JUN</t>
  </si>
  <si>
    <t>SLD2068</t>
  </si>
  <si>
    <t>SLD2069</t>
  </si>
  <si>
    <t>NOV</t>
  </si>
  <si>
    <t>SLD2070</t>
  </si>
  <si>
    <t>SLD2071</t>
  </si>
  <si>
    <t>SLD2072</t>
  </si>
  <si>
    <t>SLD2073</t>
  </si>
  <si>
    <t>SLD2074</t>
  </si>
  <si>
    <t>SLD2075</t>
  </si>
  <si>
    <t>sep</t>
  </si>
  <si>
    <t>Priya</t>
  </si>
  <si>
    <t>SLD2076</t>
  </si>
  <si>
    <t>SLD2077</t>
  </si>
  <si>
    <t>SLD2078</t>
  </si>
  <si>
    <t>SLD2079</t>
  </si>
  <si>
    <t>grocery</t>
  </si>
  <si>
    <t>government</t>
  </si>
  <si>
    <t>SLD2080</t>
  </si>
  <si>
    <t>SLD2081</t>
  </si>
  <si>
    <t>SLD2082</t>
  </si>
  <si>
    <t>SLD2083</t>
  </si>
  <si>
    <t>Nov</t>
  </si>
  <si>
    <t>Est</t>
  </si>
  <si>
    <t>rahul singh</t>
  </si>
  <si>
    <t>SLD2084</t>
  </si>
  <si>
    <t xml:space="preserve">Jan </t>
  </si>
  <si>
    <t>SLD2085</t>
  </si>
  <si>
    <t>Amit</t>
  </si>
  <si>
    <t>online customer</t>
  </si>
  <si>
    <t>SLD2086</t>
  </si>
  <si>
    <t>SLD2087</t>
  </si>
  <si>
    <t>SLD2088</t>
  </si>
  <si>
    <t>WEST</t>
  </si>
  <si>
    <t>SLD2089</t>
  </si>
  <si>
    <t>SLD2090</t>
  </si>
  <si>
    <t>SLD2091</t>
  </si>
  <si>
    <t>SLD2092</t>
  </si>
  <si>
    <t>SLD2093</t>
  </si>
  <si>
    <t>SLD2094</t>
  </si>
  <si>
    <t>SLD2095</t>
  </si>
  <si>
    <t>SLD2096</t>
  </si>
  <si>
    <t>SLD2097</t>
  </si>
  <si>
    <t>SLD2098</t>
  </si>
  <si>
    <t>sld2099</t>
  </si>
  <si>
    <t>SLD2100</t>
  </si>
  <si>
    <t>SLD2101</t>
  </si>
  <si>
    <t>SLD 2102</t>
  </si>
  <si>
    <t>SLD2103</t>
  </si>
  <si>
    <t>SLD2104</t>
  </si>
  <si>
    <t>DEC</t>
  </si>
  <si>
    <t>SLD2105</t>
  </si>
  <si>
    <t>SLD2106</t>
  </si>
  <si>
    <t>SLD2107</t>
  </si>
  <si>
    <t>SLD2108</t>
  </si>
  <si>
    <t>SLD2109</t>
  </si>
  <si>
    <t>SLD2110</t>
  </si>
  <si>
    <t>SLD2111</t>
  </si>
  <si>
    <t>SLD 2112</t>
  </si>
  <si>
    <t>SLD2113</t>
  </si>
  <si>
    <t>SLD 2114</t>
  </si>
  <si>
    <t>SLD2115</t>
  </si>
  <si>
    <t>SLD2116</t>
  </si>
  <si>
    <t>SLD2117</t>
  </si>
  <si>
    <t>SLD2118</t>
  </si>
  <si>
    <t>SLD2119</t>
  </si>
  <si>
    <t>SLD2120</t>
  </si>
  <si>
    <t>SLD2121</t>
  </si>
  <si>
    <t>SLD2122</t>
  </si>
  <si>
    <t>SLD2123</t>
  </si>
  <si>
    <t>SLD2124</t>
  </si>
  <si>
    <t>SLD2125</t>
  </si>
  <si>
    <t>electronics</t>
  </si>
  <si>
    <t>SLD2126</t>
  </si>
  <si>
    <t>SLD2127</t>
  </si>
  <si>
    <t>SLD2128</t>
  </si>
  <si>
    <t>SLD2129</t>
  </si>
  <si>
    <t>SLD2130</t>
  </si>
  <si>
    <t>SLD2131</t>
  </si>
  <si>
    <t>SLD2132</t>
  </si>
  <si>
    <t>SLD2133</t>
  </si>
  <si>
    <t>sld2134</t>
  </si>
  <si>
    <t>SLD2135</t>
  </si>
  <si>
    <t>SLD2136</t>
  </si>
  <si>
    <t>SLD2137</t>
  </si>
  <si>
    <t>SLD2138</t>
  </si>
  <si>
    <t>SLD2139</t>
  </si>
  <si>
    <t>SLD2140</t>
  </si>
  <si>
    <t>SLD2141</t>
  </si>
  <si>
    <t>SLD2142</t>
  </si>
  <si>
    <t>SLD 2143</t>
  </si>
  <si>
    <t>SLD2144</t>
  </si>
  <si>
    <t>JUL</t>
  </si>
  <si>
    <t>SLD2145</t>
  </si>
  <si>
    <t>SLD2146</t>
  </si>
  <si>
    <t>sld2147</t>
  </si>
  <si>
    <t>SLD2148</t>
  </si>
  <si>
    <t>SLD2149</t>
  </si>
  <si>
    <t>OCT</t>
  </si>
  <si>
    <t>SLD2150</t>
  </si>
  <si>
    <t>SLD2151</t>
  </si>
  <si>
    <t>SLD2152</t>
  </si>
  <si>
    <t>SLD2153</t>
  </si>
  <si>
    <t xml:space="preserve"> Feb</t>
  </si>
  <si>
    <t xml:space="preserve">sports </t>
  </si>
  <si>
    <t>SLD2154</t>
  </si>
  <si>
    <t>SLD2155</t>
  </si>
  <si>
    <t>SLD2156</t>
  </si>
  <si>
    <t>SLD2157</t>
  </si>
  <si>
    <t>SLD2158</t>
  </si>
  <si>
    <t>RAHUL SINGH</t>
  </si>
  <si>
    <t>SLD2159</t>
  </si>
  <si>
    <t>SLD2160</t>
  </si>
  <si>
    <t>SLD2161</t>
  </si>
  <si>
    <t>jan</t>
  </si>
  <si>
    <t>sld2162</t>
  </si>
  <si>
    <t>SLD2163</t>
  </si>
  <si>
    <t>SLD2164</t>
  </si>
  <si>
    <t>sneha reddy</t>
  </si>
  <si>
    <t>sld2165</t>
  </si>
  <si>
    <t>MAY</t>
  </si>
  <si>
    <t>SLD2166</t>
  </si>
  <si>
    <t>SLD2167</t>
  </si>
  <si>
    <t>SLD 2168</t>
  </si>
  <si>
    <t>SLD2169</t>
  </si>
  <si>
    <t>SLD2170</t>
  </si>
  <si>
    <t>SLD2171</t>
  </si>
  <si>
    <t>SLD2172</t>
  </si>
  <si>
    <t>SLD2173</t>
  </si>
  <si>
    <t>SLD2174</t>
  </si>
  <si>
    <t>SLD2175</t>
  </si>
  <si>
    <t>SLD2176</t>
  </si>
  <si>
    <t>SLD2177</t>
  </si>
  <si>
    <t>SLD2178</t>
  </si>
  <si>
    <t>SLD2179</t>
  </si>
  <si>
    <t>jul</t>
  </si>
  <si>
    <t>SLD2180</t>
  </si>
  <si>
    <t>SLD2181</t>
  </si>
  <si>
    <t>SLD2182</t>
  </si>
  <si>
    <t>SLD2183</t>
  </si>
  <si>
    <t>SLD2184</t>
  </si>
  <si>
    <t>SLD2185</t>
  </si>
  <si>
    <t>SLD2186</t>
  </si>
  <si>
    <t>may</t>
  </si>
  <si>
    <t>SLD2187</t>
  </si>
  <si>
    <t>SLD2188</t>
  </si>
  <si>
    <t>SLD2189</t>
  </si>
  <si>
    <t>SLD2190</t>
  </si>
  <si>
    <t>SLD2191</t>
  </si>
  <si>
    <t>SLD2192</t>
  </si>
  <si>
    <t>SLD2193</t>
  </si>
  <si>
    <t>SLD2194</t>
  </si>
  <si>
    <t>SLD 2195</t>
  </si>
  <si>
    <t>SLD2196</t>
  </si>
  <si>
    <t>SLD2197</t>
  </si>
  <si>
    <t>SLD2198</t>
  </si>
  <si>
    <t>ONLINE CUSTOMER</t>
  </si>
  <si>
    <t>SLD2199</t>
  </si>
  <si>
    <t>SLD2200</t>
  </si>
  <si>
    <t>SLD2201</t>
  </si>
  <si>
    <t>SLD2202</t>
  </si>
  <si>
    <t>SLD2203</t>
  </si>
  <si>
    <t>sld2204</t>
  </si>
  <si>
    <t>SLD2205</t>
  </si>
  <si>
    <t>SLD2206</t>
  </si>
  <si>
    <t>SLD2207</t>
  </si>
  <si>
    <t>sld2208</t>
  </si>
  <si>
    <t>SLD2209</t>
  </si>
  <si>
    <t>SLD2210</t>
  </si>
  <si>
    <t>SLD2211</t>
  </si>
  <si>
    <t>SLD2212</t>
  </si>
  <si>
    <t>SLD2213</t>
  </si>
  <si>
    <t>SLD2214</t>
  </si>
  <si>
    <t>SLD2215</t>
  </si>
  <si>
    <t>SLD2216</t>
  </si>
  <si>
    <t>SLD2217</t>
  </si>
  <si>
    <t>SLD2218</t>
  </si>
  <si>
    <t>SLD2219</t>
  </si>
  <si>
    <t>SLD2220</t>
  </si>
  <si>
    <t>SLD2221</t>
  </si>
  <si>
    <t>SLD2222</t>
  </si>
  <si>
    <t>SLD2223</t>
  </si>
  <si>
    <t>SLD2224</t>
  </si>
  <si>
    <t>SLD2225</t>
  </si>
  <si>
    <t>SLD2226</t>
  </si>
  <si>
    <t>SLD2227</t>
  </si>
  <si>
    <t>SLD2228</t>
  </si>
  <si>
    <t>SLD2229</t>
  </si>
  <si>
    <t>SLD2230</t>
  </si>
  <si>
    <t>sld2231</t>
  </si>
  <si>
    <t>SLD 2232</t>
  </si>
  <si>
    <t>SLD2233</t>
  </si>
  <si>
    <t>SLD2234</t>
  </si>
  <si>
    <t>SLD2235</t>
  </si>
  <si>
    <t>SLD2236</t>
  </si>
  <si>
    <t>SLD2237</t>
  </si>
  <si>
    <t>SLD2238</t>
  </si>
  <si>
    <t>SLD2239</t>
  </si>
  <si>
    <t>SLD2240</t>
  </si>
  <si>
    <t>SLD2017</t>
  </si>
  <si>
    <t>SLD2037</t>
  </si>
  <si>
    <t>SLD2053</t>
  </si>
  <si>
    <t>SLD2058</t>
  </si>
  <si>
    <t>SLD2060</t>
  </si>
  <si>
    <t>SLD2099</t>
  </si>
  <si>
    <t>SLD2102</t>
  </si>
  <si>
    <t>SLD2112</t>
  </si>
  <si>
    <t>SLD2114</t>
  </si>
  <si>
    <t>SLD2134</t>
  </si>
  <si>
    <t>SLD2143</t>
  </si>
  <si>
    <t>SLD2147</t>
  </si>
  <si>
    <t>SLD2162</t>
  </si>
  <si>
    <t>SLD2165</t>
  </si>
  <si>
    <t>SLD2168</t>
  </si>
  <si>
    <t>SLD2195</t>
  </si>
  <si>
    <t>SLD2204</t>
  </si>
  <si>
    <t>SLD2208</t>
  </si>
  <si>
    <t>SLD2231</t>
  </si>
  <si>
    <t>SLD2232</t>
  </si>
  <si>
    <t>Total Revenue</t>
  </si>
  <si>
    <t>Total Sales Target</t>
  </si>
  <si>
    <t>Total Returns</t>
  </si>
  <si>
    <t>Average Discount %</t>
  </si>
  <si>
    <t xml:space="preserve">Target Achievement % </t>
  </si>
  <si>
    <t>Profit Margin %</t>
  </si>
  <si>
    <t>YoY Growth %</t>
  </si>
  <si>
    <t>Row Labels</t>
  </si>
  <si>
    <t>Grand Total</t>
  </si>
  <si>
    <t>Sum of Total_Sales_INR</t>
  </si>
  <si>
    <t>Sum of Profit_INR</t>
  </si>
  <si>
    <t>Sum of Sales_Target_INR</t>
  </si>
  <si>
    <t>Sum of Returns</t>
  </si>
  <si>
    <t>Sales Performance Dashboard — FY 2024-25</t>
  </si>
  <si>
    <t>Analyst : Rohit Varri / MBA in Vikrama Simhapuri University / Batch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</si>
</sst>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10"/>
      <color rgb="FF000000"/>
      <name val="Arial"/>
    </font>
    <font>
      <sz val="10"/>
      <color rgb="FF000000"/>
      <name val="Arial"/>
      <family val="2"/>
    </font>
    <font>
      <b/>
      <sz val="14"/>
      <color theme="4"/>
      <name val="Calibri"/>
      <family val="2"/>
      <scheme val="minor"/>
    </font>
    <font>
      <b/>
      <sz val="10"/>
      <color rgb="FFFFFFFF"/>
      <name val="Arial"/>
      <family val="2"/>
    </font>
  </fonts>
  <fills count="8">
    <fill>
      <patternFill patternType="none"/>
    </fill>
    <fill>
      <patternFill patternType="gray125"/>
    </fill>
    <fill>
      <patternFill patternType="solid">
        <fgColor rgb="FF1F3864"/>
      </patternFill>
    </fill>
    <fill>
      <patternFill patternType="solid">
        <fgColor rgb="FFF2F2F2"/>
      </patternFill>
    </fill>
    <fill>
      <patternFill patternType="solid">
        <fgColor rgb="FFFFF2CC"/>
      </patternFill>
    </fill>
    <fill>
      <patternFill patternType="solid">
        <fgColor rgb="FF1F3864"/>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style="thin">
        <color rgb="FFBFBFBF"/>
      </left>
      <right/>
      <top style="thin">
        <color rgb="FFBFBFBF"/>
      </top>
      <bottom/>
      <diagonal/>
    </border>
    <border>
      <left style="thin">
        <color theme="0"/>
      </left>
      <right style="thin">
        <color rgb="FFBFBFBF"/>
      </right>
      <top style="thin">
        <color rgb="FFBFBFBF"/>
      </top>
      <bottom style="thin">
        <color rgb="FFBFBFBF"/>
      </bottom>
      <diagonal/>
    </border>
    <border>
      <left style="thin">
        <color theme="0"/>
      </left>
      <right style="thin">
        <color rgb="FFBFBFBF"/>
      </right>
      <top/>
      <bottom style="thin">
        <color rgb="FFBFBFBF"/>
      </bottom>
      <diagonal/>
    </border>
    <border>
      <left style="thin">
        <color rgb="FFBFBFBF"/>
      </left>
      <right style="thin">
        <color rgb="FFBFBFBF"/>
      </right>
      <top style="thin">
        <color rgb="FFBFBFBF"/>
      </top>
      <bottom/>
      <diagonal/>
    </border>
    <border>
      <left style="thin">
        <color theme="0"/>
      </left>
      <right style="thin">
        <color rgb="FFBFBFBF"/>
      </right>
      <top style="thin">
        <color rgb="FFBFBFBF"/>
      </top>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2" fillId="0" borderId="1" xfId="0" applyFont="1" applyBorder="1" applyAlignment="1">
      <alignment horizontal="left" vertical="center"/>
    </xf>
    <xf numFmtId="0" fontId="2" fillId="4" borderId="1" xfId="0" applyFont="1" applyFill="1" applyBorder="1" applyAlignment="1">
      <alignment horizontal="left"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2" fillId="3" borderId="6" xfId="0" applyFont="1" applyFill="1" applyBorder="1" applyAlignment="1">
      <alignment horizontal="left" vertical="center"/>
    </xf>
    <xf numFmtId="0" fontId="2" fillId="7" borderId="6" xfId="0" applyFont="1" applyFill="1" applyBorder="1" applyAlignment="1">
      <alignment horizontal="left" vertical="center"/>
    </xf>
    <xf numFmtId="0" fontId="2" fillId="7" borderId="1" xfId="0" applyFont="1" applyFill="1" applyBorder="1" applyAlignment="1">
      <alignment horizontal="left" vertical="center"/>
    </xf>
    <xf numFmtId="0" fontId="2" fillId="6" borderId="6" xfId="0" applyFont="1" applyFill="1" applyBorder="1" applyAlignment="1">
      <alignment horizontal="left" vertical="center"/>
    </xf>
    <xf numFmtId="0" fontId="2" fillId="6" borderId="1" xfId="0" applyFont="1" applyFill="1" applyBorder="1" applyAlignment="1">
      <alignment horizontal="left" vertical="center"/>
    </xf>
    <xf numFmtId="0" fontId="1" fillId="2" borderId="7" xfId="0" applyFont="1" applyFill="1" applyBorder="1" applyAlignment="1">
      <alignment horizontal="center" vertical="center" wrapText="1"/>
    </xf>
    <xf numFmtId="0" fontId="3" fillId="7" borderId="9" xfId="0" applyFont="1" applyFill="1" applyBorder="1" applyAlignment="1">
      <alignment horizontal="left" vertical="center"/>
    </xf>
    <xf numFmtId="0" fontId="3" fillId="7" borderId="8" xfId="0" applyFont="1" applyFill="1" applyBorder="1" applyAlignment="1">
      <alignment horizontal="left" vertical="center"/>
    </xf>
    <xf numFmtId="0" fontId="2" fillId="3" borderId="1" xfId="0" applyFont="1" applyFill="1" applyBorder="1" applyAlignment="1">
      <alignment horizontal="right" vertical="center"/>
    </xf>
    <xf numFmtId="0" fontId="2" fillId="3" borderId="2" xfId="0" applyFont="1" applyFill="1" applyBorder="1" applyAlignment="1">
      <alignment horizontal="right" vertical="center"/>
    </xf>
    <xf numFmtId="0" fontId="0" fillId="0" borderId="0" xfId="0" applyAlignment="1">
      <alignment horizontal="right"/>
    </xf>
    <xf numFmtId="0" fontId="2" fillId="7" borderId="1" xfId="0" applyFont="1" applyFill="1" applyBorder="1" applyAlignment="1">
      <alignment horizontal="right" vertical="center"/>
    </xf>
    <xf numFmtId="0" fontId="2" fillId="7" borderId="2" xfId="0" applyFont="1" applyFill="1" applyBorder="1" applyAlignment="1">
      <alignment horizontal="right" vertical="center"/>
    </xf>
    <xf numFmtId="0" fontId="2" fillId="6" borderId="1" xfId="0" applyFont="1" applyFill="1" applyBorder="1" applyAlignment="1">
      <alignment horizontal="right" vertical="center"/>
    </xf>
    <xf numFmtId="0" fontId="2" fillId="6" borderId="2" xfId="0" applyFont="1" applyFill="1" applyBorder="1" applyAlignment="1">
      <alignment horizontal="right" vertical="center"/>
    </xf>
    <xf numFmtId="0" fontId="3" fillId="7" borderId="8" xfId="0" applyFont="1" applyFill="1" applyBorder="1" applyAlignment="1">
      <alignment horizontal="right" vertical="center"/>
    </xf>
    <xf numFmtId="0" fontId="3" fillId="7" borderId="5" xfId="0" applyFont="1" applyFill="1" applyBorder="1" applyAlignment="1">
      <alignment horizontal="right" vertical="center"/>
    </xf>
    <xf numFmtId="0" fontId="0" fillId="0" borderId="0" xfId="0" pivotButton="1"/>
    <xf numFmtId="0" fontId="0" fillId="0" borderId="0" xfId="0" applyAlignment="1">
      <alignment horizontal="left"/>
    </xf>
    <xf numFmtId="0" fontId="4" fillId="0" borderId="0" xfId="0" applyFont="1"/>
    <xf numFmtId="0" fontId="5" fillId="2" borderId="3" xfId="0" applyFont="1" applyFill="1" applyBorder="1" applyAlignment="1">
      <alignment horizontal="center" vertical="center" wrapText="1"/>
    </xf>
    <xf numFmtId="0" fontId="0" fillId="0" borderId="0" xfId="0" applyNumberFormat="1"/>
  </cellXfs>
  <cellStyles count="1">
    <cellStyle name="Normal" xfId="0" builtinId="0"/>
  </cellStyles>
  <dxfs count="17">
    <dxf>
      <alignment horizontal="right" textRotation="0" wrapText="0" indent="0" justifyLastLine="0" shrinkToFit="0" readingOrder="0"/>
    </dxf>
    <dxf>
      <numFmt numFmtId="0" formatCode="General"/>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righ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theme="0"/>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scheme val="none"/>
      </font>
      <fill>
        <patternFill patternType="solid">
          <fgColor theme="4" tint="0.79998168889431442"/>
          <bgColor theme="4" tint="0.79998168889431442"/>
        </patternFill>
      </fill>
      <alignment horizontal="left"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 _rohit.xlsx]pviot table!PivotTable1</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'pviot table'!$B$3</c:f>
              <c:strCache>
                <c:ptCount val="1"/>
                <c:pt idx="0">
                  <c:v>Sum of Total_Sales_INR</c:v>
                </c:pt>
              </c:strCache>
            </c:strRef>
          </c:tx>
          <c:spPr>
            <a:ln w="28575" cap="rnd">
              <a:solidFill>
                <a:schemeClr val="accent1"/>
              </a:solidFill>
              <a:round/>
            </a:ln>
            <a:effectLst/>
          </c:spPr>
          <c:marker>
            <c:symbol val="none"/>
          </c:marker>
          <c:cat>
            <c:strRef>
              <c:f>'pviot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'pviot table'!$B$4:$B$16</c:f>
              <c:numCache>
                <c:formatCode>General</c:formatCode>
                <c:ptCount val="12"/>
                <c:pt idx="0">
                  <c:v>8941742</c:v>
                </c:pt>
                <c:pt idx="1">
                  <c:v>4614956</c:v>
                </c:pt>
                <c:pt idx="2">
                  <c:v>19826973</c:v>
                </c:pt>
                <c:pt idx="3">
                  <c:v>17575296</c:v>
                </c:pt>
                <c:pt idx="4">
                  <c:v>12979953</c:v>
                </c:pt>
                <c:pt idx="5">
                  <c:v>14686213</c:v>
                </c:pt>
                <c:pt idx="6">
                  <c:v>19919625</c:v>
                </c:pt>
                <c:pt idx="7">
                  <c:v>17081689</c:v>
                </c:pt>
                <c:pt idx="8">
                  <c:v>21148188</c:v>
                </c:pt>
                <c:pt idx="9">
                  <c:v>12605924</c:v>
                </c:pt>
                <c:pt idx="10">
                  <c:v>7801366</c:v>
                </c:pt>
                <c:pt idx="11">
                  <c:v>19530045</c:v>
                </c:pt>
              </c:numCache>
            </c:numRef>
          </c:val>
          <c:smooth val="0"/>
          <c:extLst>
            <c:ext xmlns:c16="http://schemas.microsoft.com/office/drawing/2014/chart" uri="{C3380CC4-5D6E-409C-BE32-E72D297353CC}">
              <c16:uniqueId val="{00000000-842A-47D1-B59C-740F79ECDAF2}"/>
            </c:ext>
          </c:extLst>
        </c:ser>
        <c:ser>
          <c:idx val="1"/>
          <c:order val="1"/>
          <c:tx>
            <c:strRef>
              <c:f>'pviot table'!$C$3</c:f>
              <c:strCache>
                <c:ptCount val="1"/>
                <c:pt idx="0">
                  <c:v>Sum of Sales_Target_INR</c:v>
                </c:pt>
              </c:strCache>
            </c:strRef>
          </c:tx>
          <c:spPr>
            <a:ln w="28575" cap="rnd">
              <a:solidFill>
                <a:schemeClr val="accent2"/>
              </a:solidFill>
              <a:round/>
            </a:ln>
            <a:effectLst/>
          </c:spPr>
          <c:marker>
            <c:symbol val="none"/>
          </c:marker>
          <c:cat>
            <c:strRef>
              <c:f>'pviot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'pviot table'!$C$4:$C$16</c:f>
              <c:numCache>
                <c:formatCode>General</c:formatCode>
                <c:ptCount val="12"/>
                <c:pt idx="0">
                  <c:v>8630490</c:v>
                </c:pt>
                <c:pt idx="1">
                  <c:v>4440517</c:v>
                </c:pt>
                <c:pt idx="2">
                  <c:v>20744031</c:v>
                </c:pt>
                <c:pt idx="3">
                  <c:v>18950236</c:v>
                </c:pt>
                <c:pt idx="4">
                  <c:v>12977162</c:v>
                </c:pt>
                <c:pt idx="5">
                  <c:v>14528849</c:v>
                </c:pt>
                <c:pt idx="6">
                  <c:v>19300777</c:v>
                </c:pt>
                <c:pt idx="7">
                  <c:v>17960590</c:v>
                </c:pt>
                <c:pt idx="8">
                  <c:v>22528580</c:v>
                </c:pt>
                <c:pt idx="9">
                  <c:v>13132022</c:v>
                </c:pt>
                <c:pt idx="10">
                  <c:v>8579225</c:v>
                </c:pt>
                <c:pt idx="11">
                  <c:v>19741274</c:v>
                </c:pt>
              </c:numCache>
            </c:numRef>
          </c:val>
          <c:smooth val="0"/>
          <c:extLst>
            <c:ext xmlns:c16="http://schemas.microsoft.com/office/drawing/2014/chart" uri="{C3380CC4-5D6E-409C-BE32-E72D297353CC}">
              <c16:uniqueId val="{00000001-842A-47D1-B59C-740F79ECDAF2}"/>
            </c:ext>
          </c:extLst>
        </c:ser>
        <c:dLbls>
          <c:showLegendKey val="0"/>
          <c:showVal val="0"/>
          <c:showCatName val="0"/>
          <c:showSerName val="0"/>
          <c:showPercent val="0"/>
          <c:showBubbleSize val="0"/>
        </c:dLbls>
        <c:smooth val="0"/>
        <c:axId val="1545125583"/>
        <c:axId val="1545125103"/>
      </c:lineChart>
      <c:catAx>
        <c:axId val="154512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125103"/>
        <c:crosses val="autoZero"/>
        <c:auto val="1"/>
        <c:lblAlgn val="ctr"/>
        <c:lblOffset val="100"/>
        <c:noMultiLvlLbl val="0"/>
      </c:catAx>
      <c:valAx>
        <c:axId val="154512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1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 _rohit.xlsx]pviot table!PivotTable2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'pviot table'!$B$20</c:f>
              <c:strCache>
                <c:ptCount val="1"/>
                <c:pt idx="0">
                  <c:v>Sum of Total_Sales_INR</c:v>
                </c:pt>
              </c:strCache>
            </c:strRef>
          </c:tx>
          <c:spPr>
            <a:solidFill>
              <a:schemeClr val="accent1"/>
            </a:solidFill>
            <a:ln>
              <a:noFill/>
            </a:ln>
            <a:effectLst/>
          </c:spPr>
          <c:invertIfNegative val="0"/>
          <c:cat>
            <c:strRef>
              <c:f>'pviot table'!$A$21:$A$26</c:f>
              <c:strCache>
                <c:ptCount val="5"/>
                <c:pt idx="0">
                  <c:v>Amit Kumar</c:v>
                </c:pt>
                <c:pt idx="1">
                  <c:v>Priya Sharma</c:v>
                </c:pt>
                <c:pt idx="2">
                  <c:v>Rahul Singh</c:v>
                </c:pt>
                <c:pt idx="3">
                  <c:v>Sneha Reddy</c:v>
                </c:pt>
                <c:pt idx="4">
                  <c:v>Vikram Patel</c:v>
                </c:pt>
              </c:strCache>
            </c:strRef>
          </c:cat>
          <c:val>
            <c:numRef>
              <c:f>'pviot table'!$B$21:$B$26</c:f>
              <c:numCache>
                <c:formatCode>General</c:formatCode>
                <c:ptCount val="5"/>
                <c:pt idx="0">
                  <c:v>33860932</c:v>
                </c:pt>
                <c:pt idx="1">
                  <c:v>53478369</c:v>
                </c:pt>
                <c:pt idx="2">
                  <c:v>29794099</c:v>
                </c:pt>
                <c:pt idx="3">
                  <c:v>28011707</c:v>
                </c:pt>
                <c:pt idx="4">
                  <c:v>31566863</c:v>
                </c:pt>
              </c:numCache>
            </c:numRef>
          </c:val>
          <c:extLst>
            <c:ext xmlns:c16="http://schemas.microsoft.com/office/drawing/2014/chart" uri="{C3380CC4-5D6E-409C-BE32-E72D297353CC}">
              <c16:uniqueId val="{00000000-CE70-4877-BE13-B91A153DE2F0}"/>
            </c:ext>
          </c:extLst>
        </c:ser>
        <c:ser>
          <c:idx val="1"/>
          <c:order val="1"/>
          <c:tx>
            <c:strRef>
              <c:f>'pviot table'!$C$20</c:f>
              <c:strCache>
                <c:ptCount val="1"/>
                <c:pt idx="0">
                  <c:v>Sum of Profit_INR</c:v>
                </c:pt>
              </c:strCache>
            </c:strRef>
          </c:tx>
          <c:spPr>
            <a:solidFill>
              <a:schemeClr val="accent2"/>
            </a:solidFill>
            <a:ln>
              <a:noFill/>
            </a:ln>
            <a:effectLst/>
          </c:spPr>
          <c:invertIfNegative val="0"/>
          <c:cat>
            <c:strRef>
              <c:f>'pviot table'!$A$21:$A$26</c:f>
              <c:strCache>
                <c:ptCount val="5"/>
                <c:pt idx="0">
                  <c:v>Amit Kumar</c:v>
                </c:pt>
                <c:pt idx="1">
                  <c:v>Priya Sharma</c:v>
                </c:pt>
                <c:pt idx="2">
                  <c:v>Rahul Singh</c:v>
                </c:pt>
                <c:pt idx="3">
                  <c:v>Sneha Reddy</c:v>
                </c:pt>
                <c:pt idx="4">
                  <c:v>Vikram Patel</c:v>
                </c:pt>
              </c:strCache>
            </c:strRef>
          </c:cat>
          <c:val>
            <c:numRef>
              <c:f>'pviot table'!$C$21:$C$26</c:f>
              <c:numCache>
                <c:formatCode>General</c:formatCode>
                <c:ptCount val="5"/>
                <c:pt idx="0">
                  <c:v>6772186.4000000022</c:v>
                </c:pt>
                <c:pt idx="1">
                  <c:v>10695673.799999999</c:v>
                </c:pt>
                <c:pt idx="2">
                  <c:v>5958819.7999999998</c:v>
                </c:pt>
                <c:pt idx="3">
                  <c:v>5602341.4000000004</c:v>
                </c:pt>
                <c:pt idx="4">
                  <c:v>6313372.5999999996</c:v>
                </c:pt>
              </c:numCache>
            </c:numRef>
          </c:val>
          <c:extLst>
            <c:ext xmlns:c16="http://schemas.microsoft.com/office/drawing/2014/chart" uri="{C3380CC4-5D6E-409C-BE32-E72D297353CC}">
              <c16:uniqueId val="{00000001-CE70-4877-BE13-B91A153DE2F0}"/>
            </c:ext>
          </c:extLst>
        </c:ser>
        <c:dLbls>
          <c:showLegendKey val="0"/>
          <c:showVal val="0"/>
          <c:showCatName val="0"/>
          <c:showSerName val="0"/>
          <c:showPercent val="0"/>
          <c:showBubbleSize val="0"/>
        </c:dLbls>
        <c:gapWidth val="182"/>
        <c:axId val="18148320"/>
        <c:axId val="1213294623"/>
      </c:barChart>
      <c:catAx>
        <c:axId val="1814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294623"/>
        <c:crosses val="autoZero"/>
        <c:auto val="1"/>
        <c:lblAlgn val="ctr"/>
        <c:lblOffset val="100"/>
        <c:noMultiLvlLbl val="0"/>
      </c:catAx>
      <c:valAx>
        <c:axId val="1213294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 _rohit.xlsx]pviot table!PivotTable3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'pviot table'!$B$37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B6-4346-BC52-1BDA5D20D6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B6-4346-BC52-1BDA5D20D6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B6-4346-BC52-1BDA5D20D6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B6-4346-BC52-1BDA5D20D6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B6-4346-BC52-1BDA5D20D6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'pviot table'!$A$38:$A$42</c:f>
              <c:strCache>
                <c:ptCount val="4"/>
                <c:pt idx="0">
                  <c:v>East</c:v>
                </c:pt>
                <c:pt idx="1">
                  <c:v>North</c:v>
                </c:pt>
                <c:pt idx="2">
                  <c:v>South</c:v>
                </c:pt>
                <c:pt idx="3">
                  <c:v>West</c:v>
                </c:pt>
              </c:strCache>
            </c:strRef>
          </c:cat>
          <c:val>
            <c:numRef>
              <c:f>'pviot table'!$B$38:$B$42</c:f>
              <c:numCache>
                <c:formatCode>General</c:formatCode>
                <c:ptCount val="4"/>
                <c:pt idx="0">
                  <c:v>37459549</c:v>
                </c:pt>
                <c:pt idx="1">
                  <c:v>47815660</c:v>
                </c:pt>
                <c:pt idx="2">
                  <c:v>36282604</c:v>
                </c:pt>
                <c:pt idx="3">
                  <c:v>55154157</c:v>
                </c:pt>
              </c:numCache>
            </c:numRef>
          </c:val>
          <c:extLst>
            <c:ext xmlns:c16="http://schemas.microsoft.com/office/drawing/2014/chart" uri="{C3380CC4-5D6E-409C-BE32-E72D297353CC}">
              <c16:uniqueId val="{00000000-503B-4B25-B2E6-E942BC80EFB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 _rohit.xlsx]pviot table!PivotTable4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'pviot table'!$B$48</c:f>
              <c:strCache>
                <c:ptCount val="1"/>
                <c:pt idx="0">
                  <c:v>Sum of Total_Sales_INR</c:v>
                </c:pt>
              </c:strCache>
            </c:strRef>
          </c:tx>
          <c:spPr>
            <a:solidFill>
              <a:schemeClr val="accent1"/>
            </a:solidFill>
            <a:ln>
              <a:noFill/>
            </a:ln>
            <a:effectLst/>
          </c:spPr>
          <c:invertIfNegative val="0"/>
          <c:cat>
            <c:strRef>
              <c:f>'pviot table'!$A$49:$A$54</c:f>
              <c:strCache>
                <c:ptCount val="5"/>
                <c:pt idx="0">
                  <c:v>Clothing</c:v>
                </c:pt>
                <c:pt idx="1">
                  <c:v>Electronics</c:v>
                </c:pt>
                <c:pt idx="2">
                  <c:v>Furniture</c:v>
                </c:pt>
                <c:pt idx="3">
                  <c:v>Grocery</c:v>
                </c:pt>
                <c:pt idx="4">
                  <c:v>Sports</c:v>
                </c:pt>
              </c:strCache>
            </c:strRef>
          </c:cat>
          <c:val>
            <c:numRef>
              <c:f>'pviot table'!$B$49:$B$54</c:f>
              <c:numCache>
                <c:formatCode>General</c:formatCode>
                <c:ptCount val="5"/>
                <c:pt idx="0">
                  <c:v>45044810</c:v>
                </c:pt>
                <c:pt idx="1">
                  <c:v>36724543</c:v>
                </c:pt>
                <c:pt idx="2">
                  <c:v>35717377</c:v>
                </c:pt>
                <c:pt idx="3">
                  <c:v>26274569</c:v>
                </c:pt>
                <c:pt idx="4">
                  <c:v>32950671</c:v>
                </c:pt>
              </c:numCache>
            </c:numRef>
          </c:val>
          <c:extLst>
            <c:ext xmlns:c16="http://schemas.microsoft.com/office/drawing/2014/chart" uri="{C3380CC4-5D6E-409C-BE32-E72D297353CC}">
              <c16:uniqueId val="{00000000-F461-4C3A-B215-6B35C2DAB61A}"/>
            </c:ext>
          </c:extLst>
        </c:ser>
        <c:ser>
          <c:idx val="1"/>
          <c:order val="1"/>
          <c:tx>
            <c:strRef>
              <c:f>'pviot table'!$C$48</c:f>
              <c:strCache>
                <c:ptCount val="1"/>
                <c:pt idx="0">
                  <c:v>Sum of Returns</c:v>
                </c:pt>
              </c:strCache>
            </c:strRef>
          </c:tx>
          <c:spPr>
            <a:solidFill>
              <a:schemeClr val="accent2"/>
            </a:solidFill>
            <a:ln>
              <a:noFill/>
            </a:ln>
            <a:effectLst/>
          </c:spPr>
          <c:invertIfNegative val="0"/>
          <c:cat>
            <c:strRef>
              <c:f>'pviot table'!$A$49:$A$54</c:f>
              <c:strCache>
                <c:ptCount val="5"/>
                <c:pt idx="0">
                  <c:v>Clothing</c:v>
                </c:pt>
                <c:pt idx="1">
                  <c:v>Electronics</c:v>
                </c:pt>
                <c:pt idx="2">
                  <c:v>Furniture</c:v>
                </c:pt>
                <c:pt idx="3">
                  <c:v>Grocery</c:v>
                </c:pt>
                <c:pt idx="4">
                  <c:v>Sports</c:v>
                </c:pt>
              </c:strCache>
            </c:strRef>
          </c:cat>
          <c:val>
            <c:numRef>
              <c:f>'pviot table'!$C$49:$C$54</c:f>
              <c:numCache>
                <c:formatCode>General</c:formatCode>
                <c:ptCount val="5"/>
                <c:pt idx="0">
                  <c:v>230</c:v>
                </c:pt>
                <c:pt idx="1">
                  <c:v>171</c:v>
                </c:pt>
                <c:pt idx="2">
                  <c:v>173</c:v>
                </c:pt>
                <c:pt idx="3">
                  <c:v>191</c:v>
                </c:pt>
                <c:pt idx="4">
                  <c:v>148</c:v>
                </c:pt>
              </c:numCache>
            </c:numRef>
          </c:val>
          <c:extLst>
            <c:ext xmlns:c16="http://schemas.microsoft.com/office/drawing/2014/chart" uri="{C3380CC4-5D6E-409C-BE32-E72D297353CC}">
              <c16:uniqueId val="{00000001-F461-4C3A-B215-6B35C2DAB61A}"/>
            </c:ext>
          </c:extLst>
        </c:ser>
        <c:dLbls>
          <c:showLegendKey val="0"/>
          <c:showVal val="0"/>
          <c:showCatName val="0"/>
          <c:showSerName val="0"/>
          <c:showPercent val="0"/>
          <c:showBubbleSize val="0"/>
        </c:dLbls>
        <c:gapWidth val="150"/>
        <c:overlap val="100"/>
        <c:axId val="2146520735"/>
        <c:axId val="2146517375"/>
      </c:barChart>
      <c:catAx>
        <c:axId val="214652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17375"/>
        <c:crosses val="autoZero"/>
        <c:auto val="1"/>
        <c:lblAlgn val="ctr"/>
        <c:lblOffset val="100"/>
        <c:noMultiLvlLbl val="0"/>
      </c:catAx>
      <c:valAx>
        <c:axId val="214651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2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 _rohit.xlsx]pviot table!PivotTable1</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'pviot table'!$B$3</c:f>
              <c:strCache>
                <c:ptCount val="1"/>
                <c:pt idx="0">
                  <c:v>Sum of Total_Sales_INR</c:v>
                </c:pt>
              </c:strCache>
            </c:strRef>
          </c:tx>
          <c:spPr>
            <a:ln w="28575" cap="rnd">
              <a:solidFill>
                <a:schemeClr val="accent1"/>
              </a:solidFill>
              <a:round/>
            </a:ln>
            <a:effectLst/>
          </c:spPr>
          <c:marker>
            <c:symbol val="none"/>
          </c:marker>
          <c:cat>
            <c:strRef>
              <c:f>'pviot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'pviot table'!$B$4:$B$16</c:f>
              <c:numCache>
                <c:formatCode>General</c:formatCode>
                <c:ptCount val="12"/>
                <c:pt idx="0">
                  <c:v>8941742</c:v>
                </c:pt>
                <c:pt idx="1">
                  <c:v>4614956</c:v>
                </c:pt>
                <c:pt idx="2">
                  <c:v>19826973</c:v>
                </c:pt>
                <c:pt idx="3">
                  <c:v>17575296</c:v>
                </c:pt>
                <c:pt idx="4">
                  <c:v>12979953</c:v>
                </c:pt>
                <c:pt idx="5">
                  <c:v>14686213</c:v>
                </c:pt>
                <c:pt idx="6">
                  <c:v>19919625</c:v>
                </c:pt>
                <c:pt idx="7">
                  <c:v>17081689</c:v>
                </c:pt>
                <c:pt idx="8">
                  <c:v>21148188</c:v>
                </c:pt>
                <c:pt idx="9">
                  <c:v>12605924</c:v>
                </c:pt>
                <c:pt idx="10">
                  <c:v>7801366</c:v>
                </c:pt>
                <c:pt idx="11">
                  <c:v>19530045</c:v>
                </c:pt>
              </c:numCache>
            </c:numRef>
          </c:val>
          <c:smooth val="0"/>
          <c:extLst>
            <c:ext xmlns:c16="http://schemas.microsoft.com/office/drawing/2014/chart" uri="{C3380CC4-5D6E-409C-BE32-E72D297353CC}">
              <c16:uniqueId val="{00000000-2AA7-4A74-8A02-4B8ADD732892}"/>
            </c:ext>
          </c:extLst>
        </c:ser>
        <c:ser>
          <c:idx val="1"/>
          <c:order val="1"/>
          <c:tx>
            <c:strRef>
              <c:f>'pviot table'!$C$3</c:f>
              <c:strCache>
                <c:ptCount val="1"/>
                <c:pt idx="0">
                  <c:v>Sum of Sales_Target_INR</c:v>
                </c:pt>
              </c:strCache>
            </c:strRef>
          </c:tx>
          <c:spPr>
            <a:ln w="28575" cap="rnd">
              <a:solidFill>
                <a:schemeClr val="accent2"/>
              </a:solidFill>
              <a:round/>
            </a:ln>
            <a:effectLst/>
          </c:spPr>
          <c:marker>
            <c:symbol val="none"/>
          </c:marker>
          <c:cat>
            <c:strRef>
              <c:f>'pviot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'pviot table'!$C$4:$C$16</c:f>
              <c:numCache>
                <c:formatCode>General</c:formatCode>
                <c:ptCount val="12"/>
                <c:pt idx="0">
                  <c:v>8630490</c:v>
                </c:pt>
                <c:pt idx="1">
                  <c:v>4440517</c:v>
                </c:pt>
                <c:pt idx="2">
                  <c:v>20744031</c:v>
                </c:pt>
                <c:pt idx="3">
                  <c:v>18950236</c:v>
                </c:pt>
                <c:pt idx="4">
                  <c:v>12977162</c:v>
                </c:pt>
                <c:pt idx="5">
                  <c:v>14528849</c:v>
                </c:pt>
                <c:pt idx="6">
                  <c:v>19300777</c:v>
                </c:pt>
                <c:pt idx="7">
                  <c:v>17960590</c:v>
                </c:pt>
                <c:pt idx="8">
                  <c:v>22528580</c:v>
                </c:pt>
                <c:pt idx="9">
                  <c:v>13132022</c:v>
                </c:pt>
                <c:pt idx="10">
                  <c:v>8579225</c:v>
                </c:pt>
                <c:pt idx="11">
                  <c:v>19741274</c:v>
                </c:pt>
              </c:numCache>
            </c:numRef>
          </c:val>
          <c:smooth val="0"/>
          <c:extLst>
            <c:ext xmlns:c16="http://schemas.microsoft.com/office/drawing/2014/chart" uri="{C3380CC4-5D6E-409C-BE32-E72D297353CC}">
              <c16:uniqueId val="{00000001-2AA7-4A74-8A02-4B8ADD732892}"/>
            </c:ext>
          </c:extLst>
        </c:ser>
        <c:dLbls>
          <c:showLegendKey val="0"/>
          <c:showVal val="0"/>
          <c:showCatName val="0"/>
          <c:showSerName val="0"/>
          <c:showPercent val="0"/>
          <c:showBubbleSize val="0"/>
        </c:dLbls>
        <c:smooth val="0"/>
        <c:axId val="1545125583"/>
        <c:axId val="1545125103"/>
      </c:lineChart>
      <c:catAx>
        <c:axId val="1545125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Monthly Sales Trend vs Target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125103"/>
        <c:crosses val="autoZero"/>
        <c:auto val="1"/>
        <c:lblAlgn val="ctr"/>
        <c:lblOffset val="100"/>
        <c:noMultiLvlLbl val="0"/>
      </c:catAx>
      <c:valAx>
        <c:axId val="154512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1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38100" cap="flat" cmpd="sng" algn="ctr">
      <a:solidFill>
        <a:srgbClr val="002060">
          <a:alpha val="68000"/>
        </a:srgbClr>
      </a:solidFill>
      <a:round/>
    </a:ln>
    <a:effectLst>
      <a:outerShdw blurRad="152400" dist="50800" dir="5400000" algn="ctr" rotWithShape="0">
        <a:srgbClr val="000000">
          <a:alpha val="91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 _rohit.xlsx]pviot table!PivotTable2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'pviot table'!$B$20</c:f>
              <c:strCache>
                <c:ptCount val="1"/>
                <c:pt idx="0">
                  <c:v>Sum of Total_Sales_INR</c:v>
                </c:pt>
              </c:strCache>
            </c:strRef>
          </c:tx>
          <c:spPr>
            <a:solidFill>
              <a:schemeClr val="accent1"/>
            </a:solidFill>
            <a:ln>
              <a:noFill/>
            </a:ln>
            <a:effectLst/>
          </c:spPr>
          <c:invertIfNegative val="0"/>
          <c:cat>
            <c:strRef>
              <c:f>'pviot table'!$A$21:$A$26</c:f>
              <c:strCache>
                <c:ptCount val="5"/>
                <c:pt idx="0">
                  <c:v>Amit Kumar</c:v>
                </c:pt>
                <c:pt idx="1">
                  <c:v>Priya Sharma</c:v>
                </c:pt>
                <c:pt idx="2">
                  <c:v>Rahul Singh</c:v>
                </c:pt>
                <c:pt idx="3">
                  <c:v>Sneha Reddy</c:v>
                </c:pt>
                <c:pt idx="4">
                  <c:v>Vikram Patel</c:v>
                </c:pt>
              </c:strCache>
            </c:strRef>
          </c:cat>
          <c:val>
            <c:numRef>
              <c:f>'pviot table'!$B$21:$B$26</c:f>
              <c:numCache>
                <c:formatCode>General</c:formatCode>
                <c:ptCount val="5"/>
                <c:pt idx="0">
                  <c:v>33860932</c:v>
                </c:pt>
                <c:pt idx="1">
                  <c:v>53478369</c:v>
                </c:pt>
                <c:pt idx="2">
                  <c:v>29794099</c:v>
                </c:pt>
                <c:pt idx="3">
                  <c:v>28011707</c:v>
                </c:pt>
                <c:pt idx="4">
                  <c:v>31566863</c:v>
                </c:pt>
              </c:numCache>
            </c:numRef>
          </c:val>
          <c:extLst>
            <c:ext xmlns:c16="http://schemas.microsoft.com/office/drawing/2014/chart" uri="{C3380CC4-5D6E-409C-BE32-E72D297353CC}">
              <c16:uniqueId val="{00000000-EB34-405C-A943-C08D5A104769}"/>
            </c:ext>
          </c:extLst>
        </c:ser>
        <c:ser>
          <c:idx val="1"/>
          <c:order val="1"/>
          <c:tx>
            <c:strRef>
              <c:f>'pviot table'!$C$20</c:f>
              <c:strCache>
                <c:ptCount val="1"/>
                <c:pt idx="0">
                  <c:v>Sum of Profit_INR</c:v>
                </c:pt>
              </c:strCache>
            </c:strRef>
          </c:tx>
          <c:spPr>
            <a:solidFill>
              <a:schemeClr val="accent2"/>
            </a:solidFill>
            <a:ln>
              <a:noFill/>
            </a:ln>
            <a:effectLst/>
          </c:spPr>
          <c:invertIfNegative val="0"/>
          <c:cat>
            <c:strRef>
              <c:f>'pviot table'!$A$21:$A$26</c:f>
              <c:strCache>
                <c:ptCount val="5"/>
                <c:pt idx="0">
                  <c:v>Amit Kumar</c:v>
                </c:pt>
                <c:pt idx="1">
                  <c:v>Priya Sharma</c:v>
                </c:pt>
                <c:pt idx="2">
                  <c:v>Rahul Singh</c:v>
                </c:pt>
                <c:pt idx="3">
                  <c:v>Sneha Reddy</c:v>
                </c:pt>
                <c:pt idx="4">
                  <c:v>Vikram Patel</c:v>
                </c:pt>
              </c:strCache>
            </c:strRef>
          </c:cat>
          <c:val>
            <c:numRef>
              <c:f>'pviot table'!$C$21:$C$26</c:f>
              <c:numCache>
                <c:formatCode>General</c:formatCode>
                <c:ptCount val="5"/>
                <c:pt idx="0">
                  <c:v>6772186.4000000022</c:v>
                </c:pt>
                <c:pt idx="1">
                  <c:v>10695673.799999999</c:v>
                </c:pt>
                <c:pt idx="2">
                  <c:v>5958819.7999999998</c:v>
                </c:pt>
                <c:pt idx="3">
                  <c:v>5602341.4000000004</c:v>
                </c:pt>
                <c:pt idx="4">
                  <c:v>6313372.5999999996</c:v>
                </c:pt>
              </c:numCache>
            </c:numRef>
          </c:val>
          <c:extLst>
            <c:ext xmlns:c16="http://schemas.microsoft.com/office/drawing/2014/chart" uri="{C3380CC4-5D6E-409C-BE32-E72D297353CC}">
              <c16:uniqueId val="{00000001-EB34-405C-A943-C08D5A104769}"/>
            </c:ext>
          </c:extLst>
        </c:ser>
        <c:dLbls>
          <c:showLegendKey val="0"/>
          <c:showVal val="0"/>
          <c:showCatName val="0"/>
          <c:showSerName val="0"/>
          <c:showPercent val="0"/>
          <c:showBubbleSize val="0"/>
        </c:dLbls>
        <c:gapWidth val="182"/>
        <c:axId val="18148320"/>
        <c:axId val="1213294623"/>
      </c:barChart>
      <c:catAx>
        <c:axId val="1814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294623"/>
        <c:crosses val="autoZero"/>
        <c:auto val="1"/>
        <c:lblAlgn val="ctr"/>
        <c:lblOffset val="100"/>
        <c:noMultiLvlLbl val="0"/>
      </c:catAx>
      <c:valAx>
        <c:axId val="1213294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Salesperson Performance Comparison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44450" cap="flat" cmpd="sng" algn="ctr">
      <a:solidFill>
        <a:srgbClr val="002060">
          <a:alpha val="80000"/>
        </a:srgbClr>
      </a:solidFill>
      <a:round/>
    </a:ln>
    <a:effectLst>
      <a:outerShdw blurRad="127000" dist="50800" dir="5400000" algn="ctr" rotWithShape="0">
        <a:srgbClr val="000000">
          <a:alpha val="92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 _rohit.xlsx]pviot table!PivotTable4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'pviot table'!$B$48</c:f>
              <c:strCache>
                <c:ptCount val="1"/>
                <c:pt idx="0">
                  <c:v>Sum of Total_Sales_INR</c:v>
                </c:pt>
              </c:strCache>
            </c:strRef>
          </c:tx>
          <c:spPr>
            <a:solidFill>
              <a:schemeClr val="accent1"/>
            </a:solidFill>
            <a:ln>
              <a:noFill/>
            </a:ln>
            <a:effectLst/>
          </c:spPr>
          <c:invertIfNegative val="0"/>
          <c:cat>
            <c:strRef>
              <c:f>'pviot table'!$A$49:$A$54</c:f>
              <c:strCache>
                <c:ptCount val="5"/>
                <c:pt idx="0">
                  <c:v>Clothing</c:v>
                </c:pt>
                <c:pt idx="1">
                  <c:v>Electronics</c:v>
                </c:pt>
                <c:pt idx="2">
                  <c:v>Furniture</c:v>
                </c:pt>
                <c:pt idx="3">
                  <c:v>Grocery</c:v>
                </c:pt>
                <c:pt idx="4">
                  <c:v>Sports</c:v>
                </c:pt>
              </c:strCache>
            </c:strRef>
          </c:cat>
          <c:val>
            <c:numRef>
              <c:f>'pviot table'!$B$49:$B$54</c:f>
              <c:numCache>
                <c:formatCode>General</c:formatCode>
                <c:ptCount val="5"/>
                <c:pt idx="0">
                  <c:v>45044810</c:v>
                </c:pt>
                <c:pt idx="1">
                  <c:v>36724543</c:v>
                </c:pt>
                <c:pt idx="2">
                  <c:v>35717377</c:v>
                </c:pt>
                <c:pt idx="3">
                  <c:v>26274569</c:v>
                </c:pt>
                <c:pt idx="4">
                  <c:v>32950671</c:v>
                </c:pt>
              </c:numCache>
            </c:numRef>
          </c:val>
          <c:extLst>
            <c:ext xmlns:c16="http://schemas.microsoft.com/office/drawing/2014/chart" uri="{C3380CC4-5D6E-409C-BE32-E72D297353CC}">
              <c16:uniqueId val="{00000000-6244-42CF-B30B-B52C2C6D9BEF}"/>
            </c:ext>
          </c:extLst>
        </c:ser>
        <c:ser>
          <c:idx val="1"/>
          <c:order val="1"/>
          <c:tx>
            <c:strRef>
              <c:f>'pviot table'!$C$48</c:f>
              <c:strCache>
                <c:ptCount val="1"/>
                <c:pt idx="0">
                  <c:v>Sum of Returns</c:v>
                </c:pt>
              </c:strCache>
            </c:strRef>
          </c:tx>
          <c:spPr>
            <a:solidFill>
              <a:schemeClr val="accent2"/>
            </a:solidFill>
            <a:ln>
              <a:noFill/>
            </a:ln>
            <a:effectLst/>
          </c:spPr>
          <c:invertIfNegative val="0"/>
          <c:cat>
            <c:strRef>
              <c:f>'pviot table'!$A$49:$A$54</c:f>
              <c:strCache>
                <c:ptCount val="5"/>
                <c:pt idx="0">
                  <c:v>Clothing</c:v>
                </c:pt>
                <c:pt idx="1">
                  <c:v>Electronics</c:v>
                </c:pt>
                <c:pt idx="2">
                  <c:v>Furniture</c:v>
                </c:pt>
                <c:pt idx="3">
                  <c:v>Grocery</c:v>
                </c:pt>
                <c:pt idx="4">
                  <c:v>Sports</c:v>
                </c:pt>
              </c:strCache>
            </c:strRef>
          </c:cat>
          <c:val>
            <c:numRef>
              <c:f>'pviot table'!$C$49:$C$54</c:f>
              <c:numCache>
                <c:formatCode>General</c:formatCode>
                <c:ptCount val="5"/>
                <c:pt idx="0">
                  <c:v>230</c:v>
                </c:pt>
                <c:pt idx="1">
                  <c:v>171</c:v>
                </c:pt>
                <c:pt idx="2">
                  <c:v>173</c:v>
                </c:pt>
                <c:pt idx="3">
                  <c:v>191</c:v>
                </c:pt>
                <c:pt idx="4">
                  <c:v>148</c:v>
                </c:pt>
              </c:numCache>
            </c:numRef>
          </c:val>
          <c:extLst>
            <c:ext xmlns:c16="http://schemas.microsoft.com/office/drawing/2014/chart" uri="{C3380CC4-5D6E-409C-BE32-E72D297353CC}">
              <c16:uniqueId val="{00000001-6244-42CF-B30B-B52C2C6D9BEF}"/>
            </c:ext>
          </c:extLst>
        </c:ser>
        <c:dLbls>
          <c:showLegendKey val="0"/>
          <c:showVal val="0"/>
          <c:showCatName val="0"/>
          <c:showSerName val="0"/>
          <c:showPercent val="0"/>
          <c:showBubbleSize val="0"/>
        </c:dLbls>
        <c:gapWidth val="150"/>
        <c:overlap val="100"/>
        <c:axId val="2146520735"/>
        <c:axId val="2146517375"/>
      </c:barChart>
      <c:catAx>
        <c:axId val="214652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17375"/>
        <c:crosses val="autoZero"/>
        <c:auto val="1"/>
        <c:lblAlgn val="ctr"/>
        <c:lblOffset val="100"/>
        <c:noMultiLvlLbl val="0"/>
      </c:catAx>
      <c:valAx>
        <c:axId val="21465173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Category wise Sales and Returns</a:t>
                </a:r>
                <a:r>
                  <a:rPr lang="en-IN"/>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2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44450" cap="flat" cmpd="sng" algn="ctr">
      <a:solidFill>
        <a:srgbClr val="002060">
          <a:alpha val="77000"/>
        </a:srgbClr>
      </a:solidFill>
      <a:round/>
    </a:ln>
    <a:effectLst>
      <a:outerShdw blurRad="254000" dist="50800" dir="5400000" algn="ctr" rotWithShape="0">
        <a:srgbClr val="000000">
          <a:alpha val="8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project _rohit.xlsx]pviot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wise Sales Distribution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'pviot table'!$B$37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04-444C-B5CA-2F05A1DFBE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04-444C-B5CA-2F05A1DFBE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04-444C-B5CA-2F05A1DFBE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04-444C-B5CA-2F05A1DFBE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804-444C-B5CA-2F05A1DFBE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'pviot table'!$A$38:$A$42</c:f>
              <c:strCache>
                <c:ptCount val="4"/>
                <c:pt idx="0">
                  <c:v>East</c:v>
                </c:pt>
                <c:pt idx="1">
                  <c:v>North</c:v>
                </c:pt>
                <c:pt idx="2">
                  <c:v>South</c:v>
                </c:pt>
                <c:pt idx="3">
                  <c:v>West</c:v>
                </c:pt>
              </c:strCache>
            </c:strRef>
          </c:cat>
          <c:val>
            <c:numRef>
              <c:f>'pviot table'!$B$38:$B$42</c:f>
              <c:numCache>
                <c:formatCode>General</c:formatCode>
                <c:ptCount val="4"/>
                <c:pt idx="0">
                  <c:v>37459549</c:v>
                </c:pt>
                <c:pt idx="1">
                  <c:v>47815660</c:v>
                </c:pt>
                <c:pt idx="2">
                  <c:v>36282604</c:v>
                </c:pt>
                <c:pt idx="3">
                  <c:v>55154157</c:v>
                </c:pt>
              </c:numCache>
            </c:numRef>
          </c:val>
          <c:extLst>
            <c:ext xmlns:c16="http://schemas.microsoft.com/office/drawing/2014/chart" uri="{C3380CC4-5D6E-409C-BE32-E72D297353CC}">
              <c16:uniqueId val="{0000000A-4804-444C-B5CA-2F05A1DFBE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410881801125702"/>
          <c:y val="0.21127671541057369"/>
          <c:w val="0.1571294559099437"/>
          <c:h val="0.689411027568922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44450" cap="flat" cmpd="sng" algn="ctr">
      <a:solidFill>
        <a:srgbClr val="002060">
          <a:alpha val="79000"/>
        </a:srgbClr>
      </a:solidFill>
      <a:round/>
    </a:ln>
    <a:effectLst>
      <a:outerShdw blurRad="139700" dist="50800" dir="5400000" algn="ctr" rotWithShape="0">
        <a:srgbClr val="000000">
          <a:alpha val="8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129540</xdr:colOff>
      <xdr:row>2</xdr:row>
      <xdr:rowOff>3810</xdr:rowOff>
    </xdr:from>
    <xdr:to>
      <xdr:col>10</xdr:col>
      <xdr:colOff>434340</xdr:colOff>
      <xdr:row>17</xdr:row>
      <xdr:rowOff>3810</xdr:rowOff>
    </xdr:to>
    <xdr:graphicFrame macro="">
      <xdr:nvGraphicFramePr>
        <xdr:cNvPr id="2" name="Chart 1">
          <a:extLst>
            <a:ext uri="{FF2B5EF4-FFF2-40B4-BE49-F238E27FC236}">
              <a16:creationId xmlns:a16="http://schemas.microsoft.com/office/drawing/2014/main" id="{3C9C89AF-BF21-B8B9-67D9-16064FF94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175260</xdr:colOff>
      <xdr:row>17</xdr:row>
      <xdr:rowOff>156210</xdr:rowOff>
    </xdr:from>
    <xdr:to>
      <xdr:col>10</xdr:col>
      <xdr:colOff>480060</xdr:colOff>
      <xdr:row>32</xdr:row>
      <xdr:rowOff>156210</xdr:rowOff>
    </xdr:to>
    <xdr:graphicFrame macro="">
      <xdr:nvGraphicFramePr>
        <xdr:cNvPr id="3" name="Chart 2">
          <a:extLst>
            <a:ext uri="{FF2B5EF4-FFF2-40B4-BE49-F238E27FC236}">
              <a16:creationId xmlns:a16="http://schemas.microsoft.com/office/drawing/2014/main" id="{BF4BE65F-B9F8-706A-D3EA-7A501E694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259080</xdr:colOff>
      <xdr:row>33</xdr:row>
      <xdr:rowOff>57150</xdr:rowOff>
    </xdr:from>
    <xdr:to>
      <xdr:col>10</xdr:col>
      <xdr:colOff>563880</xdr:colOff>
      <xdr:row>48</xdr:row>
      <xdr:rowOff>57150</xdr:rowOff>
    </xdr:to>
    <xdr:graphicFrame macro="">
      <xdr:nvGraphicFramePr>
        <xdr:cNvPr id="4" name="Chart 3">
          <a:extLst>
            <a:ext uri="{FF2B5EF4-FFF2-40B4-BE49-F238E27FC236}">
              <a16:creationId xmlns:a16="http://schemas.microsoft.com/office/drawing/2014/main" id="{CFB0E100-115C-504E-1F22-0AEB7D606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525780</xdr:colOff>
      <xdr:row>49</xdr:row>
      <xdr:rowOff>26670</xdr:rowOff>
    </xdr:from>
    <xdr:to>
      <xdr:col>11</xdr:col>
      <xdr:colOff>220980</xdr:colOff>
      <xdr:row>64</xdr:row>
      <xdr:rowOff>26670</xdr:rowOff>
    </xdr:to>
    <xdr:graphicFrame macro="">
      <xdr:nvGraphicFramePr>
        <xdr:cNvPr id="5" name="Chart 4">
          <a:extLst>
            <a:ext uri="{FF2B5EF4-FFF2-40B4-BE49-F238E27FC236}">
              <a16:creationId xmlns:a16="http://schemas.microsoft.com/office/drawing/2014/main" id="{011209AE-83DF-C77B-AC7B-46F805D40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91440</xdr:colOff>
      <xdr:row>15</xdr:row>
      <xdr:rowOff>152400</xdr:rowOff>
    </xdr:from>
    <xdr:to>
      <xdr:col>14</xdr:col>
      <xdr:colOff>91440</xdr:colOff>
      <xdr:row>29</xdr:row>
      <xdr:rowOff>59055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ABD6971B-C049-F342-8FA1-D0A7464D375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808720" y="2895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426720</xdr:colOff>
      <xdr:row>14</xdr:row>
      <xdr:rowOff>167641</xdr:rowOff>
    </xdr:from>
    <xdr:to>
      <xdr:col>17</xdr:col>
      <xdr:colOff>426720</xdr:colOff>
      <xdr:row>22</xdr:row>
      <xdr:rowOff>45721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D42D29E-632E-E13F-87F2-40D760F06B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72800" y="2727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464820</xdr:colOff>
      <xdr:row>1</xdr:row>
      <xdr:rowOff>152400</xdr:rowOff>
    </xdr:from>
    <xdr:to>
      <xdr:col>13</xdr:col>
      <xdr:colOff>464820</xdr:colOff>
      <xdr:row>15</xdr:row>
      <xdr:rowOff>59055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D64DEF29-3173-CC79-1874-6147050C115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72500" y="335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541020</xdr:colOff>
      <xdr:row>0</xdr:row>
      <xdr:rowOff>1</xdr:rowOff>
    </xdr:from>
    <xdr:to>
      <xdr:col>16</xdr:col>
      <xdr:colOff>541020</xdr:colOff>
      <xdr:row>8</xdr:row>
      <xdr:rowOff>167641</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C26ACF38-F009-F44C-54D6-355B3C35E96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47750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6</xdr:row>
      <xdr:rowOff>15240</xdr:rowOff>
    </xdr:from>
    <xdr:to>
      <xdr:col>9</xdr:col>
      <xdr:colOff>114300</xdr:colOff>
      <xdr:row>16</xdr:row>
      <xdr:rowOff>7620</xdr:rowOff>
    </xdr:to>
    <xdr:graphicFrame macro="">
      <xdr:nvGraphicFramePr>
        <xdr:cNvPr id="2" name="Chart 1">
          <a:extLst>
            <a:ext uri="{FF2B5EF4-FFF2-40B4-BE49-F238E27FC236}">
              <a16:creationId xmlns:a16="http://schemas.microsoft.com/office/drawing/2014/main" id="{C0962EB5-16F4-47B5-9B29-475D2F1A1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6</xdr:row>
      <xdr:rowOff>7620</xdr:rowOff>
    </xdr:from>
    <xdr:to>
      <xdr:col>15</xdr:col>
      <xdr:colOff>594360</xdr:colOff>
      <xdr:row>15</xdr:row>
      <xdr:rowOff>175260</xdr:rowOff>
    </xdr:to>
    <xdr:graphicFrame macro="">
      <xdr:nvGraphicFramePr>
        <xdr:cNvPr id="3" name="Chart 2">
          <a:extLst>
            <a:ext uri="{FF2B5EF4-FFF2-40B4-BE49-F238E27FC236}">
              <a16:creationId xmlns:a16="http://schemas.microsoft.com/office/drawing/2014/main" id="{488A0F65-75D9-49D6-8132-701A14D65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xdr:colOff>
      <xdr:row>16</xdr:row>
      <xdr:rowOff>106680</xdr:rowOff>
    </xdr:from>
    <xdr:to>
      <xdr:col>9</xdr:col>
      <xdr:colOff>121920</xdr:colOff>
      <xdr:row>26</xdr:row>
      <xdr:rowOff>160020</xdr:rowOff>
    </xdr:to>
    <xdr:graphicFrame macro="">
      <xdr:nvGraphicFramePr>
        <xdr:cNvPr id="4" name="Chart 3">
          <a:extLst>
            <a:ext uri="{FF2B5EF4-FFF2-40B4-BE49-F238E27FC236}">
              <a16:creationId xmlns:a16="http://schemas.microsoft.com/office/drawing/2014/main" id="{A91B562F-764E-47F7-B121-58B74D829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190500</xdr:colOff>
      <xdr:row>16</xdr:row>
      <xdr:rowOff>99060</xdr:rowOff>
    </xdr:from>
    <xdr:to>
      <xdr:col>15</xdr:col>
      <xdr:colOff>594360</xdr:colOff>
      <xdr:row>26</xdr:row>
      <xdr:rowOff>152400</xdr:rowOff>
    </xdr:to>
    <xdr:graphicFrame macro="">
      <xdr:nvGraphicFramePr>
        <xdr:cNvPr id="5" name="Chart 4">
          <a:extLst>
            <a:ext uri="{FF2B5EF4-FFF2-40B4-BE49-F238E27FC236}">
              <a16:creationId xmlns:a16="http://schemas.microsoft.com/office/drawing/2014/main" id="{432F1627-C0DB-4764-A8E2-8BC4035CB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53340</xdr:colOff>
      <xdr:row>6</xdr:row>
      <xdr:rowOff>0</xdr:rowOff>
    </xdr:from>
    <xdr:to>
      <xdr:col>19</xdr:col>
      <xdr:colOff>53340</xdr:colOff>
      <xdr:row>15</xdr:row>
      <xdr:rowOff>160019</xdr:rowOff>
    </xdr:to>
    <mc:AlternateContent xmlns:mc="http://schemas.openxmlformats.org/markup-compatibility/2006" xmlns:a14="http://schemas.microsoft.com/office/drawing/2010/main">
      <mc:Choice Requires="a14">
        <xdr:graphicFrame macro="">
          <xdr:nvGraphicFramePr>
            <xdr:cNvPr id="6" name="Salesperson 1">
              <a:extLst>
                <a:ext uri="{FF2B5EF4-FFF2-40B4-BE49-F238E27FC236}">
                  <a16:creationId xmlns:a16="http://schemas.microsoft.com/office/drawing/2014/main" id="{AA4AE64B-1FB6-4993-8E0F-E32E28DA1FD2}"/>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9806940" y="1188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91440</xdr:colOff>
      <xdr:row>16</xdr:row>
      <xdr:rowOff>129541</xdr:rowOff>
    </xdr:from>
    <xdr:to>
      <xdr:col>19</xdr:col>
      <xdr:colOff>91440</xdr:colOff>
      <xdr:row>26</xdr:row>
      <xdr:rowOff>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9C69D3AF-A7A7-4F07-9E23-313B178D055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845040" y="3147061"/>
              <a:ext cx="182880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19</xdr:row>
      <xdr:rowOff>167641</xdr:rowOff>
    </xdr:from>
    <xdr:to>
      <xdr:col>22</xdr:col>
      <xdr:colOff>228600</xdr:colOff>
      <xdr:row>27</xdr:row>
      <xdr:rowOff>152400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D65020B9-7236-45B5-ADCC-00444171604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811000" y="3733801"/>
              <a:ext cx="182880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6</xdr:row>
      <xdr:rowOff>0</xdr:rowOff>
    </xdr:from>
    <xdr:to>
      <xdr:col>22</xdr:col>
      <xdr:colOff>228600</xdr:colOff>
      <xdr:row>19</xdr:row>
      <xdr:rowOff>89535</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76F2483B-89C3-460D-A287-AD9FF979C1C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811000" y="1188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304800</xdr:colOff>
      <xdr:row>0</xdr:row>
      <xdr:rowOff>76200</xdr:rowOff>
    </xdr:from>
    <xdr:to>
      <xdr:col>2</xdr:col>
      <xdr:colOff>464820</xdr:colOff>
      <xdr:row>5</xdr:row>
      <xdr:rowOff>76200</xdr:rowOff>
    </xdr:to>
    <xdr:sp macro="" textlink="">
      <xdr:nvSpPr>
        <xdr:cNvPr id="10" name="Rectangle 9">
          <a:extLst>
            <a:ext uri="{FF2B5EF4-FFF2-40B4-BE49-F238E27FC236}">
              <a16:creationId xmlns:a16="http://schemas.microsoft.com/office/drawing/2014/main" id="{C7140F2B-99CA-4B60-5168-BD00E3A37734}"/>
            </a:ext>
          </a:extLst>
        </xdr:cNvPr>
        <xdr:cNvSpPr/>
      </xdr:nvSpPr>
      <xdr:spPr>
        <a:xfrm>
          <a:off x="304800" y="76200"/>
          <a:ext cx="1379220" cy="914400"/>
        </a:xfrm>
        <a:prstGeom prst="rect">
          <a:avLst/>
        </a:prstGeom>
        <a:solidFill>
          <a:schemeClr val="accent6"/>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i="0" u="none" strike="noStrike">
            <a:solidFill>
              <a:schemeClr val="lt1"/>
            </a:solidFill>
            <a:effectLst/>
            <a:latin typeface="+mn-lt"/>
            <a:ea typeface="+mn-ea"/>
            <a:cs typeface="+mn-cs"/>
          </a:endParaRPr>
        </a:p>
        <a:p>
          <a:pPr algn="l"/>
          <a:r>
            <a:rPr lang="en-IN" sz="1400" b="0" i="0" u="none" strike="noStrike">
              <a:solidFill>
                <a:schemeClr val="lt1"/>
              </a:solidFill>
              <a:effectLst/>
              <a:latin typeface="+mn-lt"/>
              <a:ea typeface="+mn-ea"/>
              <a:cs typeface="+mn-cs"/>
            </a:rPr>
            <a:t>Total Revenue : </a:t>
          </a:r>
          <a:r>
            <a:rPr lang="en-IN" sz="1400">
              <a:effectLst/>
            </a:rPr>
            <a:t> </a:t>
          </a:r>
          <a:r>
            <a:rPr lang="en-IN" sz="1400" b="0" i="0" u="none" strike="noStrike">
              <a:solidFill>
                <a:schemeClr val="lt1"/>
              </a:solidFill>
              <a:effectLst/>
              <a:latin typeface="+mn-lt"/>
              <a:ea typeface="+mn-ea"/>
              <a:cs typeface="+mn-cs"/>
            </a:rPr>
            <a:t>176911337</a:t>
          </a:r>
          <a:r>
            <a:rPr lang="en-IN" sz="1400">
              <a:effectLst/>
            </a:rPr>
            <a:t> </a:t>
          </a:r>
          <a:endParaRPr lang="en-IN" sz="1400"/>
        </a:p>
      </xdr:txBody>
    </xdr:sp>
    <xdr:clientData/>
  </xdr:twoCellAnchor>
  <xdr:twoCellAnchor>
    <xdr:from>
      <xdr:col>0</xdr:col>
      <xdr:colOff>297180</xdr:colOff>
      <xdr:row>5</xdr:row>
      <xdr:rowOff>167640</xdr:rowOff>
    </xdr:from>
    <xdr:to>
      <xdr:col>2</xdr:col>
      <xdr:colOff>472440</xdr:colOff>
      <xdr:row>11</xdr:row>
      <xdr:rowOff>121920</xdr:rowOff>
    </xdr:to>
    <xdr:sp macro="" textlink="">
      <xdr:nvSpPr>
        <xdr:cNvPr id="11" name="Rectangle 10">
          <a:extLst>
            <a:ext uri="{FF2B5EF4-FFF2-40B4-BE49-F238E27FC236}">
              <a16:creationId xmlns:a16="http://schemas.microsoft.com/office/drawing/2014/main" id="{949F116F-2ADC-4A09-B0AC-7EF2E15A6626}"/>
            </a:ext>
          </a:extLst>
        </xdr:cNvPr>
        <xdr:cNvSpPr/>
      </xdr:nvSpPr>
      <xdr:spPr>
        <a:xfrm>
          <a:off x="297180" y="1082040"/>
          <a:ext cx="1394460" cy="105156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i="0" u="none" strike="noStrike">
            <a:solidFill>
              <a:schemeClr val="lt1"/>
            </a:solidFill>
            <a:effectLst/>
            <a:latin typeface="+mn-lt"/>
            <a:ea typeface="+mn-ea"/>
            <a:cs typeface="+mn-cs"/>
          </a:endParaRPr>
        </a:p>
        <a:p>
          <a:pPr algn="l"/>
          <a:r>
            <a:rPr lang="en-IN" sz="1400" b="0" i="0" u="none" strike="noStrike">
              <a:solidFill>
                <a:schemeClr val="lt1"/>
              </a:solidFill>
              <a:effectLst/>
              <a:latin typeface="+mn-lt"/>
              <a:ea typeface="+mn-ea"/>
              <a:cs typeface="+mn-cs"/>
            </a:rPr>
            <a:t>Total Sales Target</a:t>
          </a:r>
          <a:r>
            <a:rPr lang="en-IN" sz="1400" b="0" i="0" u="none" strike="noStrike" baseline="0">
              <a:solidFill>
                <a:schemeClr val="lt1"/>
              </a:solidFill>
              <a:effectLst/>
              <a:latin typeface="+mn-lt"/>
              <a:ea typeface="+mn-ea"/>
              <a:cs typeface="+mn-cs"/>
            </a:rPr>
            <a:t> :</a:t>
          </a:r>
          <a:r>
            <a:rPr lang="en-IN" sz="1400">
              <a:effectLst/>
            </a:rPr>
            <a:t> </a:t>
          </a:r>
          <a:r>
            <a:rPr lang="en-IN" sz="1400" b="0" i="0" u="none" strike="noStrike">
              <a:solidFill>
                <a:schemeClr val="lt1"/>
              </a:solidFill>
              <a:effectLst/>
              <a:latin typeface="+mn-lt"/>
              <a:ea typeface="+mn-ea"/>
              <a:cs typeface="+mn-cs"/>
            </a:rPr>
            <a:t>181513753</a:t>
          </a:r>
          <a:r>
            <a:rPr lang="en-IN" sz="1400">
              <a:effectLst/>
            </a:rPr>
            <a:t> </a:t>
          </a:r>
          <a:endParaRPr lang="en-IN" sz="1400"/>
        </a:p>
      </xdr:txBody>
    </xdr:sp>
    <xdr:clientData/>
  </xdr:twoCellAnchor>
  <xdr:twoCellAnchor>
    <xdr:from>
      <xdr:col>0</xdr:col>
      <xdr:colOff>289560</xdr:colOff>
      <xdr:row>12</xdr:row>
      <xdr:rowOff>30480</xdr:rowOff>
    </xdr:from>
    <xdr:to>
      <xdr:col>2</xdr:col>
      <xdr:colOff>472440</xdr:colOff>
      <xdr:row>17</xdr:row>
      <xdr:rowOff>30480</xdr:rowOff>
    </xdr:to>
    <xdr:sp macro="" textlink="">
      <xdr:nvSpPr>
        <xdr:cNvPr id="12" name="Rectangle 11">
          <a:extLst>
            <a:ext uri="{FF2B5EF4-FFF2-40B4-BE49-F238E27FC236}">
              <a16:creationId xmlns:a16="http://schemas.microsoft.com/office/drawing/2014/main" id="{3A43FE51-BB23-4271-925F-E9DB63245564}"/>
            </a:ext>
          </a:extLst>
        </xdr:cNvPr>
        <xdr:cNvSpPr/>
      </xdr:nvSpPr>
      <xdr:spPr>
        <a:xfrm>
          <a:off x="289560" y="2225040"/>
          <a:ext cx="1402080" cy="9144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0" i="0" u="none" strike="noStrike">
            <a:solidFill>
              <a:schemeClr val="lt1"/>
            </a:solidFill>
            <a:effectLst/>
            <a:latin typeface="+mn-lt"/>
            <a:ea typeface="+mn-ea"/>
            <a:cs typeface="+mn-cs"/>
          </a:endParaRPr>
        </a:p>
        <a:p>
          <a:pPr algn="l"/>
          <a:r>
            <a:rPr lang="en-IN" sz="1400" b="0" i="0" u="none" strike="noStrike">
              <a:solidFill>
                <a:schemeClr val="lt1"/>
              </a:solidFill>
              <a:effectLst/>
              <a:latin typeface="+mn-lt"/>
              <a:ea typeface="+mn-ea"/>
              <a:cs typeface="+mn-cs"/>
            </a:rPr>
            <a:t>Total Returns :</a:t>
          </a:r>
          <a:r>
            <a:rPr lang="en-IN" sz="1400">
              <a:effectLst/>
            </a:rPr>
            <a:t> </a:t>
          </a:r>
          <a:r>
            <a:rPr lang="en-IN" sz="1400" b="0" i="0" u="none" strike="noStrike">
              <a:solidFill>
                <a:schemeClr val="lt1"/>
              </a:solidFill>
              <a:effectLst/>
              <a:latin typeface="+mn-lt"/>
              <a:ea typeface="+mn-ea"/>
              <a:cs typeface="+mn-cs"/>
            </a:rPr>
            <a:t>913</a:t>
          </a:r>
          <a:r>
            <a:rPr lang="en-IN" sz="1400">
              <a:effectLst/>
            </a:rPr>
            <a:t> </a:t>
          </a:r>
          <a:endParaRPr lang="en-IN" sz="1400"/>
        </a:p>
      </xdr:txBody>
    </xdr:sp>
    <xdr:clientData/>
  </xdr:twoCellAnchor>
  <xdr:twoCellAnchor>
    <xdr:from>
      <xdr:col>0</xdr:col>
      <xdr:colOff>289560</xdr:colOff>
      <xdr:row>17</xdr:row>
      <xdr:rowOff>99060</xdr:rowOff>
    </xdr:from>
    <xdr:to>
      <xdr:col>2</xdr:col>
      <xdr:colOff>464820</xdr:colOff>
      <xdr:row>22</xdr:row>
      <xdr:rowOff>99060</xdr:rowOff>
    </xdr:to>
    <xdr:sp macro="" textlink="">
      <xdr:nvSpPr>
        <xdr:cNvPr id="13" name="Rectangle 12">
          <a:extLst>
            <a:ext uri="{FF2B5EF4-FFF2-40B4-BE49-F238E27FC236}">
              <a16:creationId xmlns:a16="http://schemas.microsoft.com/office/drawing/2014/main" id="{E87C0ECF-2D21-4E2C-94FA-98C7FD1718A2}"/>
            </a:ext>
          </a:extLst>
        </xdr:cNvPr>
        <xdr:cNvSpPr/>
      </xdr:nvSpPr>
      <xdr:spPr>
        <a:xfrm>
          <a:off x="289560" y="3208020"/>
          <a:ext cx="1394460" cy="91440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0" i="0" u="none" strike="noStrike">
            <a:solidFill>
              <a:schemeClr val="lt1"/>
            </a:solidFill>
            <a:effectLst/>
            <a:latin typeface="+mn-lt"/>
            <a:ea typeface="+mn-ea"/>
            <a:cs typeface="+mn-cs"/>
          </a:endParaRPr>
        </a:p>
        <a:p>
          <a:pPr algn="l"/>
          <a:r>
            <a:rPr lang="en-IN" sz="1400" b="0" i="0" u="none" strike="noStrike">
              <a:solidFill>
                <a:schemeClr val="lt1"/>
              </a:solidFill>
              <a:effectLst/>
              <a:latin typeface="+mn-lt"/>
              <a:ea typeface="+mn-ea"/>
              <a:cs typeface="+mn-cs"/>
            </a:rPr>
            <a:t>Total Profit : </a:t>
          </a:r>
          <a:r>
            <a:rPr lang="en-IN" sz="1400">
              <a:effectLst/>
            </a:rPr>
            <a:t> </a:t>
          </a:r>
          <a:r>
            <a:rPr lang="en-IN" sz="1400" b="0" i="0" u="none" strike="noStrike">
              <a:solidFill>
                <a:schemeClr val="lt1"/>
              </a:solidFill>
              <a:effectLst/>
              <a:latin typeface="+mn-lt"/>
              <a:ea typeface="+mn-ea"/>
              <a:cs typeface="+mn-cs"/>
            </a:rPr>
            <a:t>35342394</a:t>
          </a:r>
          <a:r>
            <a:rPr lang="en-IN" sz="1400">
              <a:effectLst/>
            </a:rPr>
            <a:t> </a:t>
          </a:r>
          <a:endParaRPr lang="en-IN" sz="1400"/>
        </a:p>
      </xdr:txBody>
    </xdr:sp>
    <xdr:clientData/>
  </xdr:twoCellAnchor>
  <xdr:twoCellAnchor>
    <xdr:from>
      <xdr:col>0</xdr:col>
      <xdr:colOff>289560</xdr:colOff>
      <xdr:row>22</xdr:row>
      <xdr:rowOff>152400</xdr:rowOff>
    </xdr:from>
    <xdr:to>
      <xdr:col>2</xdr:col>
      <xdr:colOff>457200</xdr:colOff>
      <xdr:row>27</xdr:row>
      <xdr:rowOff>30480</xdr:rowOff>
    </xdr:to>
    <xdr:sp macro="" textlink="">
      <xdr:nvSpPr>
        <xdr:cNvPr id="14" name="Rectangle 13">
          <a:extLst>
            <a:ext uri="{FF2B5EF4-FFF2-40B4-BE49-F238E27FC236}">
              <a16:creationId xmlns:a16="http://schemas.microsoft.com/office/drawing/2014/main" id="{69F0E01E-CD10-4FC5-89F2-0E8D2DFA83A0}"/>
            </a:ext>
          </a:extLst>
        </xdr:cNvPr>
        <xdr:cNvSpPr/>
      </xdr:nvSpPr>
      <xdr:spPr>
        <a:xfrm>
          <a:off x="289560" y="4175760"/>
          <a:ext cx="1386840" cy="79248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u="none" strike="noStrike">
              <a:solidFill>
                <a:schemeClr val="lt1"/>
              </a:solidFill>
              <a:effectLst/>
              <a:latin typeface="+mn-lt"/>
              <a:ea typeface="+mn-ea"/>
              <a:cs typeface="+mn-cs"/>
            </a:rPr>
            <a:t>Target Achievement %  :</a:t>
          </a:r>
          <a:r>
            <a:rPr lang="en-IN" sz="1400">
              <a:effectLst/>
            </a:rPr>
            <a:t> </a:t>
          </a:r>
          <a:r>
            <a:rPr lang="en-IN" sz="1400" b="0" i="0" u="none" strike="noStrike">
              <a:solidFill>
                <a:schemeClr val="lt1"/>
              </a:solidFill>
              <a:effectLst/>
              <a:latin typeface="+mn-lt"/>
              <a:ea typeface="+mn-ea"/>
              <a:cs typeface="+mn-cs"/>
            </a:rPr>
            <a:t>97.46%</a:t>
          </a:r>
          <a:endParaRPr lang="en-IN" sz="1400"/>
        </a:p>
      </xdr:txBody>
    </xdr:sp>
    <xdr:clientData/>
  </xdr:twoCellAnchor>
  <xdr:twoCellAnchor>
    <xdr:from>
      <xdr:col>16</xdr:col>
      <xdr:colOff>144780</xdr:colOff>
      <xdr:row>0</xdr:row>
      <xdr:rowOff>121920</xdr:rowOff>
    </xdr:from>
    <xdr:to>
      <xdr:col>18</xdr:col>
      <xdr:colOff>228600</xdr:colOff>
      <xdr:row>5</xdr:row>
      <xdr:rowOff>152400</xdr:rowOff>
    </xdr:to>
    <xdr:sp macro="" textlink="">
      <xdr:nvSpPr>
        <xdr:cNvPr id="15" name="Rectangle 14">
          <a:extLst>
            <a:ext uri="{FF2B5EF4-FFF2-40B4-BE49-F238E27FC236}">
              <a16:creationId xmlns:a16="http://schemas.microsoft.com/office/drawing/2014/main" id="{D2C512F5-ADD0-4E41-877D-5CA3755C9226}"/>
            </a:ext>
          </a:extLst>
        </xdr:cNvPr>
        <xdr:cNvSpPr/>
      </xdr:nvSpPr>
      <xdr:spPr>
        <a:xfrm>
          <a:off x="9898380" y="121920"/>
          <a:ext cx="1303020" cy="94488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u="none" strike="noStrike">
              <a:solidFill>
                <a:schemeClr val="lt1"/>
              </a:solidFill>
              <a:effectLst/>
              <a:latin typeface="+mn-lt"/>
              <a:ea typeface="+mn-ea"/>
              <a:cs typeface="+mn-cs"/>
            </a:rPr>
            <a:t>Profit Margin %</a:t>
          </a:r>
          <a:r>
            <a:rPr lang="en-IN" sz="1400">
              <a:effectLst/>
            </a:rPr>
            <a:t> : </a:t>
          </a:r>
        </a:p>
        <a:p>
          <a:pPr algn="l"/>
          <a:r>
            <a:rPr lang="en-IN" sz="1400" b="0" i="0" u="none" strike="noStrike">
              <a:solidFill>
                <a:schemeClr val="lt1"/>
              </a:solidFill>
              <a:effectLst/>
              <a:latin typeface="+mn-lt"/>
              <a:ea typeface="+mn-ea"/>
              <a:cs typeface="+mn-cs"/>
            </a:rPr>
            <a:t>20%</a:t>
          </a:r>
        </a:p>
        <a:p>
          <a:pPr algn="l"/>
          <a:endParaRPr lang="en-IN" sz="1400"/>
        </a:p>
      </xdr:txBody>
    </xdr:sp>
    <xdr:clientData/>
  </xdr:twoCellAnchor>
  <xdr:twoCellAnchor>
    <xdr:from>
      <xdr:col>18</xdr:col>
      <xdr:colOff>335280</xdr:colOff>
      <xdr:row>0</xdr:row>
      <xdr:rowOff>106680</xdr:rowOff>
    </xdr:from>
    <xdr:to>
      <xdr:col>20</xdr:col>
      <xdr:colOff>335280</xdr:colOff>
      <xdr:row>5</xdr:row>
      <xdr:rowOff>121920</xdr:rowOff>
    </xdr:to>
    <xdr:sp macro="" textlink="">
      <xdr:nvSpPr>
        <xdr:cNvPr id="16" name="Rectangle 15">
          <a:extLst>
            <a:ext uri="{FF2B5EF4-FFF2-40B4-BE49-F238E27FC236}">
              <a16:creationId xmlns:a16="http://schemas.microsoft.com/office/drawing/2014/main" id="{FCCAC08C-5D25-4CA4-B172-0E2A3F194DD1}"/>
            </a:ext>
          </a:extLst>
        </xdr:cNvPr>
        <xdr:cNvSpPr/>
      </xdr:nvSpPr>
      <xdr:spPr>
        <a:xfrm>
          <a:off x="11308080" y="106680"/>
          <a:ext cx="1219200" cy="9296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u="none" strike="noStrike">
              <a:solidFill>
                <a:schemeClr val="lt1"/>
              </a:solidFill>
              <a:effectLst/>
              <a:latin typeface="+mn-lt"/>
              <a:ea typeface="+mn-ea"/>
              <a:cs typeface="+mn-cs"/>
            </a:rPr>
            <a:t>Average Discount % :</a:t>
          </a:r>
          <a:r>
            <a:rPr lang="en-IN" sz="1400">
              <a:effectLst/>
            </a:rPr>
            <a:t> </a:t>
          </a:r>
          <a:r>
            <a:rPr lang="en-IN" sz="1400" b="0" i="0" u="none" strike="noStrike">
              <a:solidFill>
                <a:schemeClr val="lt1"/>
              </a:solidFill>
              <a:effectLst/>
              <a:latin typeface="+mn-lt"/>
              <a:ea typeface="+mn-ea"/>
              <a:cs typeface="+mn-cs"/>
            </a:rPr>
            <a:t>7.09%</a:t>
          </a:r>
          <a:endParaRPr lang="en-IN" sz="1400"/>
        </a:p>
      </xdr:txBody>
    </xdr:sp>
    <xdr:clientData/>
  </xdr:twoCellAnchor>
  <xdr:twoCellAnchor>
    <xdr:from>
      <xdr:col>20</xdr:col>
      <xdr:colOff>388620</xdr:colOff>
      <xdr:row>0</xdr:row>
      <xdr:rowOff>106680</xdr:rowOff>
    </xdr:from>
    <xdr:to>
      <xdr:col>22</xdr:col>
      <xdr:colOff>281940</xdr:colOff>
      <xdr:row>5</xdr:row>
      <xdr:rowOff>152400</xdr:rowOff>
    </xdr:to>
    <xdr:sp macro="" textlink="">
      <xdr:nvSpPr>
        <xdr:cNvPr id="17" name="Rectangle 16">
          <a:extLst>
            <a:ext uri="{FF2B5EF4-FFF2-40B4-BE49-F238E27FC236}">
              <a16:creationId xmlns:a16="http://schemas.microsoft.com/office/drawing/2014/main" id="{3057FF48-F327-4EC9-A009-FDE043D442E2}"/>
            </a:ext>
          </a:extLst>
        </xdr:cNvPr>
        <xdr:cNvSpPr/>
      </xdr:nvSpPr>
      <xdr:spPr>
        <a:xfrm>
          <a:off x="12580620" y="106680"/>
          <a:ext cx="1112520" cy="96012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u="none" strike="noStrike">
              <a:solidFill>
                <a:schemeClr val="lt1"/>
              </a:solidFill>
              <a:effectLst/>
              <a:latin typeface="+mn-lt"/>
              <a:ea typeface="+mn-ea"/>
              <a:cs typeface="+mn-cs"/>
            </a:rPr>
            <a:t>YoY Growth % : </a:t>
          </a:r>
        </a:p>
        <a:p>
          <a:pPr algn="l"/>
          <a:r>
            <a:rPr lang="en-IN" sz="1400">
              <a:effectLst/>
            </a:rPr>
            <a:t> </a:t>
          </a:r>
          <a:r>
            <a:rPr lang="en-IN" sz="1400" b="0" i="0" u="none" strike="noStrike">
              <a:solidFill>
                <a:schemeClr val="lt1"/>
              </a:solidFill>
              <a:effectLst/>
              <a:latin typeface="+mn-lt"/>
              <a:ea typeface="+mn-ea"/>
              <a:cs typeface="+mn-cs"/>
            </a:rPr>
            <a:t>2.11%</a:t>
          </a:r>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itha Siriki" refreshedDate="46156.486544560183" createdVersion="8" refreshedVersion="8" minRefreshableVersion="3" recordCount="241" xr:uid="{1057863F-4C72-4EB5-8415-C24FA9D59F02}">
  <cacheSource type="worksheet">
    <worksheetSource name="Table4"/>
  </cacheSource>
  <cacheFields count="14">
    <cacheField name="Order_ID" numFmtId="0">
      <sharedItems containsBlank="1"/>
    </cacheField>
    <cacheField name="Month" numFmtId="0">
      <sharedItems containsBlank="1" count="13">
        <s v="Jan"/>
        <s v="Sep"/>
        <s v="Jun"/>
        <s v="Apr"/>
        <s v="Aug"/>
        <s v="Mar"/>
        <s v="Feb"/>
        <s v="Dec"/>
        <s v="Oct"/>
        <s v="May"/>
        <s v="Jul"/>
        <s v="Nov"/>
        <m/>
      </sharedItems>
    </cacheField>
    <cacheField name="Region" numFmtId="0">
      <sharedItems containsBlank="1" count="5">
        <s v="North"/>
        <s v="South"/>
        <s v="East"/>
        <s v="West"/>
        <m/>
      </sharedItems>
    </cacheField>
    <cacheField name="Category" numFmtId="0">
      <sharedItems containsBlank="1" count="6">
        <s v="Electronics"/>
        <s v="Clothing"/>
        <s v="Furniture"/>
        <s v="Grocery"/>
        <s v="Sports"/>
        <m/>
      </sharedItems>
    </cacheField>
    <cacheField name="Salesperson" numFmtId="0">
      <sharedItems containsBlank="1" count="11">
        <s v="Sneha Reddy"/>
        <s v="Rahul Singh"/>
        <s v="Vikram Patel"/>
        <s v="Priya Sharma"/>
        <s v="Amit Kumar"/>
        <m/>
        <s v="Rahul" u="1"/>
        <s v="Sneha" u="1"/>
        <s v="Vikram" u="1"/>
        <s v="Priya" u="1"/>
        <s v="Amit" u="1"/>
      </sharedItems>
    </cacheField>
    <cacheField name="Customer_Type" numFmtId="0">
      <sharedItems containsBlank="1"/>
    </cacheField>
    <cacheField name="Units_Sold" numFmtId="0">
      <sharedItems containsString="0" containsBlank="1" containsNumber="1" containsInteger="1" minValue="10" maxValue="200"/>
    </cacheField>
    <cacheField name="Unit_Price_INR" numFmtId="0">
      <sharedItems containsString="0" containsBlank="1" containsNumber="1" containsInteger="1" minValue="499" maxValue="24999"/>
    </cacheField>
    <cacheField name="Total_Sales_INR" numFmtId="0">
      <sharedItems containsBlank="1" containsMixedTypes="1" containsNumber="1" containsInteger="1" minValue="4990" maxValue="4999800"/>
    </cacheField>
    <cacheField name="Sales_Target_INR" numFmtId="0">
      <sharedItems containsMixedTypes="1" containsNumber="1" containsInteger="1" minValue="5313" maxValue="5482479"/>
    </cacheField>
    <cacheField name="Discount_%" numFmtId="0">
      <sharedItems containsString="0" containsBlank="1" containsNumber="1" minValue="0" maxValue="15"/>
    </cacheField>
    <cacheField name="Returns" numFmtId="0">
      <sharedItems containsMixedTypes="1" containsNumber="1" containsInteger="1" minValue="0" maxValue="14"/>
    </cacheField>
    <cacheField name="Profit_INR" numFmtId="0">
      <sharedItems containsMixedTypes="1" containsNumber="1" minValue="0" maxValue="999960"/>
    </cacheField>
    <cacheField name="Last_Year_Sales_INR" numFmtId="0">
      <sharedItems containsString="0" containsBlank="1" containsNumber="1" containsInteger="1" minValue="5101" maxValue="5370706"/>
    </cacheField>
  </cacheFields>
  <extLst>
    <ext xmlns:x14="http://schemas.microsoft.com/office/spreadsheetml/2009/9/main" uri="{725AE2AE-9491-48be-B2B4-4EB974FC3084}">
      <x14:pivotCacheDefinition pivotCacheId="1280205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1">
  <r>
    <s v="SLD2001"/>
    <x v="0"/>
    <x v="0"/>
    <x v="0"/>
    <x v="0"/>
    <s v="Corporate Client"/>
    <n v="61"/>
    <n v="1499"/>
    <n v="91439"/>
    <n v="85092"/>
    <n v="2"/>
    <n v="0"/>
    <n v="18287.8"/>
    <n v="85410"/>
  </r>
  <r>
    <s v="SLD2002"/>
    <x v="0"/>
    <x v="0"/>
    <x v="1"/>
    <x v="1"/>
    <s v="Corporate Client"/>
    <n v="184"/>
    <n v="2499"/>
    <n v="459816"/>
    <n v="415350"/>
    <n v="9.9"/>
    <n v="13"/>
    <n v="91963.200000000012"/>
    <n v="381204"/>
  </r>
  <r>
    <s v="SLD2003"/>
    <x v="0"/>
    <x v="0"/>
    <x v="2"/>
    <x v="2"/>
    <s v="Retail Store"/>
    <n v="128"/>
    <n v="2499"/>
    <n v="319872"/>
    <n v="339681"/>
    <n v="14.7"/>
    <n v="5"/>
    <n v="63974.400000000001"/>
    <n v="362526"/>
  </r>
  <r>
    <s v="SLD2004"/>
    <x v="0"/>
    <x v="0"/>
    <x v="3"/>
    <x v="3"/>
    <s v="Corporate Client"/>
    <n v="185"/>
    <n v="14999"/>
    <n v="2774815"/>
    <n v="2437414"/>
    <n v="6.4"/>
    <n v="1"/>
    <n v="554963"/>
    <n v="2819452"/>
  </r>
  <r>
    <s v="SLD2005"/>
    <x v="1"/>
    <x v="0"/>
    <x v="0"/>
    <x v="4"/>
    <s v="Retail Stor"/>
    <n v="187"/>
    <n v="24999"/>
    <n v="4674813"/>
    <n v="5482479"/>
    <n v="2"/>
    <n v="13"/>
    <n v="934962.60000000009"/>
    <n v="5014343"/>
  </r>
  <r>
    <s v="SLD2006"/>
    <x v="1"/>
    <x v="1"/>
    <x v="0"/>
    <x v="3"/>
    <s v="Online Customer"/>
    <n v="40"/>
    <n v="9999"/>
    <n v="399960"/>
    <n v="365996"/>
    <n v="1.1000000000000001"/>
    <n v="2"/>
    <n v="79992"/>
    <n v="436513"/>
  </r>
  <r>
    <s v="SLD2007"/>
    <x v="2"/>
    <x v="1"/>
    <x v="1"/>
    <x v="1"/>
    <s v="Corporate Client"/>
    <n v="123"/>
    <n v="2499"/>
    <n v="307377"/>
    <n v="294773"/>
    <n v="9.8000000000000007"/>
    <n v="4"/>
    <n v="61475.4"/>
    <n v="319905"/>
  </r>
  <r>
    <s v="SLD2008"/>
    <x v="0"/>
    <x v="1"/>
    <x v="2"/>
    <x v="1"/>
    <s v="Online Customer"/>
    <n v="132"/>
    <n v="1499"/>
    <n v="197868"/>
    <n v="232582"/>
    <n v="3.9"/>
    <n v="4"/>
    <n v="39573.600000000006"/>
    <n v="203878"/>
  </r>
  <r>
    <s v="SLD2009"/>
    <x v="0"/>
    <x v="1"/>
    <x v="3"/>
    <x v="3"/>
    <s v="Online Customer"/>
    <n v="11"/>
    <n v="9999"/>
    <n v="109989"/>
    <n v="120219"/>
    <n v="14.5"/>
    <n v="0"/>
    <n v="21997.800000000003"/>
    <n v="113699"/>
  </r>
  <r>
    <s v="SLD2010"/>
    <x v="3"/>
    <x v="2"/>
    <x v="4"/>
    <x v="4"/>
    <s v="Wholesale Dealer"/>
    <n v="145"/>
    <n v="24999"/>
    <n v="3624855"/>
    <n v="3674035"/>
    <n v="4.8"/>
    <n v="4"/>
    <n v="724971"/>
    <n v="3410298"/>
  </r>
  <r>
    <s v="SLD2011"/>
    <x v="0"/>
    <x v="2"/>
    <x v="0"/>
    <x v="2"/>
    <s v="Online Customer"/>
    <n v="61"/>
    <n v="499"/>
    <n v="30439"/>
    <n v="36521"/>
    <n v="12.1"/>
    <n v="0"/>
    <n v="6087.8"/>
    <n v="34590"/>
  </r>
  <r>
    <s v="SLD2012"/>
    <x v="0"/>
    <x v="2"/>
    <x v="1"/>
    <x v="0"/>
    <s v="Corporate Client"/>
    <n v="54"/>
    <n v="4999"/>
    <n v="269946"/>
    <n v="272993"/>
    <n v="1.9"/>
    <n v="1"/>
    <n v="53989.200000000004"/>
    <n v="297959"/>
  </r>
  <r>
    <s v="SLD2013"/>
    <x v="4"/>
    <x v="2"/>
    <x v="0"/>
    <x v="3"/>
    <s v="Corporate Client"/>
    <n v="132"/>
    <n v="24999"/>
    <n v="3299868"/>
    <n v="3572946"/>
    <n v="14.7"/>
    <n v="8"/>
    <n v="659973.60000000009"/>
    <n v="3171025"/>
  </r>
  <r>
    <s v="SLD2014"/>
    <x v="0"/>
    <x v="2"/>
    <x v="3"/>
    <x v="2"/>
    <s v="Retail Store"/>
    <n v="111"/>
    <n v="499"/>
    <n v="55389"/>
    <n v="48006"/>
    <n v="7.7"/>
    <n v="8"/>
    <n v="11077.800000000001"/>
    <n v="47384"/>
  </r>
  <r>
    <s v="SLD2015"/>
    <x v="0"/>
    <x v="1"/>
    <x v="4"/>
    <x v="4"/>
    <s v="Retail Store"/>
    <n v="138"/>
    <n v="2499"/>
    <n v="344862"/>
    <n v="293288"/>
    <n v="4.7"/>
    <n v="10"/>
    <n v="68972.400000000009"/>
    <n v="395439"/>
  </r>
  <r>
    <s v="SLD2016"/>
    <x v="5"/>
    <x v="3"/>
    <x v="0"/>
    <x v="3"/>
    <s v="Government"/>
    <n v="165"/>
    <n v="1499"/>
    <n v="247335"/>
    <n v="239675"/>
    <n v="0.8"/>
    <n v="5"/>
    <n v="49467"/>
    <n v="235623"/>
  </r>
  <r>
    <s v="SLD2017"/>
    <x v="0"/>
    <x v="3"/>
    <x v="1"/>
    <x v="3"/>
    <s v="Government"/>
    <n v="123"/>
    <n v="999"/>
    <n v="122877"/>
    <n v="142138"/>
    <n v="2.4"/>
    <n v="2"/>
    <n v="24575.4"/>
    <n v="114348"/>
  </r>
  <r>
    <s v="SLD2018"/>
    <x v="4"/>
    <x v="3"/>
    <x v="2"/>
    <x v="2"/>
    <s v="Online Customer"/>
    <n v="84"/>
    <n v="999"/>
    <n v="83916"/>
    <n v="85791"/>
    <n v="12"/>
    <n v="0"/>
    <n v="16783.2"/>
    <n v="84945"/>
  </r>
  <r>
    <s v="SLD2019"/>
    <x v="2"/>
    <x v="3"/>
    <x v="1"/>
    <x v="4"/>
    <s v="Government"/>
    <n v="199"/>
    <n v="14999"/>
    <n v="2984801"/>
    <n v="2974906"/>
    <n v="0"/>
    <n v="7"/>
    <n v="596960.20000000007"/>
    <n v="2812273"/>
  </r>
  <r>
    <s v="SLD2020"/>
    <x v="0"/>
    <x v="2"/>
    <x v="4"/>
    <x v="2"/>
    <s v="Wholesale Dealer"/>
    <n v="153"/>
    <n v="1499"/>
    <n v="229347"/>
    <n v="251281"/>
    <n v="9.8000000000000007"/>
    <n v="8"/>
    <n v="45869.4"/>
    <n v="237891"/>
  </r>
  <r>
    <s v="SLD2021"/>
    <x v="6"/>
    <x v="0"/>
    <x v="0"/>
    <x v="1"/>
    <s v="Government"/>
    <n v="50"/>
    <n v="2499"/>
    <n v="124950"/>
    <n v="138291"/>
    <n v="7.3"/>
    <n v="0"/>
    <n v="24990"/>
    <n v="108779"/>
  </r>
  <r>
    <s v="SLD2022"/>
    <x v="0"/>
    <x v="3"/>
    <x v="4"/>
    <x v="1"/>
    <s v="Retail Store"/>
    <n v="75"/>
    <n v="1499"/>
    <n v="112425"/>
    <n v="118373"/>
    <n v="6.5"/>
    <n v="0"/>
    <n v="22485"/>
    <n v="91340"/>
  </r>
  <r>
    <s v="SLD2023"/>
    <x v="3"/>
    <x v="0"/>
    <x v="2"/>
    <x v="1"/>
    <s v="Wholesale Dealer"/>
    <n v="78"/>
    <n v="4999"/>
    <n v="389922"/>
    <n v="332817"/>
    <n v="8"/>
    <n v="1"/>
    <n v="77984.400000000009"/>
    <n v="327505"/>
  </r>
  <r>
    <s v="SLD2024"/>
    <x v="3"/>
    <x v="1"/>
    <x v="1"/>
    <x v="3"/>
    <s v="Corporate Client"/>
    <n v="14"/>
    <n v="9999"/>
    <n v="139986"/>
    <n v="165110"/>
    <n v="13.3"/>
    <n v="0"/>
    <n v="27997.200000000001"/>
    <n v="150195"/>
  </r>
  <r>
    <s v="SLD2025"/>
    <x v="7"/>
    <x v="1"/>
    <x v="0"/>
    <x v="2"/>
    <s v="Retail Store"/>
    <n v="118"/>
    <n v="14999"/>
    <n v="1769882"/>
    <n v="1979942"/>
    <n v="13.6"/>
    <n v="4"/>
    <n v="353976.4"/>
    <n v="1629539"/>
  </r>
  <r>
    <s v="SLD2026"/>
    <x v="6"/>
    <x v="1"/>
    <x v="0"/>
    <x v="0"/>
    <s v="Government"/>
    <n v="14"/>
    <n v="4999"/>
    <n v="69986"/>
    <n v="61389"/>
    <n v="5.8"/>
    <n v="0"/>
    <n v="13997.2"/>
    <n v="74716"/>
  </r>
  <r>
    <s v="SLD2027"/>
    <x v="6"/>
    <x v="1"/>
    <x v="1"/>
    <x v="4"/>
    <s v="Online Customer"/>
    <n v="111"/>
    <n v="2499"/>
    <n v="277389"/>
    <n v="242394"/>
    <n v="13.9"/>
    <n v="7"/>
    <n v="55477.8"/>
    <n v="254773"/>
  </r>
  <r>
    <s v="SLD2028"/>
    <x v="8"/>
    <x v="1"/>
    <x v="0"/>
    <x v="2"/>
    <s v="Retail Stor"/>
    <n v="14"/>
    <n v="499"/>
    <n v="6986"/>
    <n v="6234"/>
    <n v="4.8"/>
    <n v="0"/>
    <n v="1397.2"/>
    <n v="8017"/>
  </r>
  <r>
    <s v="SLD2029"/>
    <x v="6"/>
    <x v="1"/>
    <x v="2"/>
    <x v="1"/>
    <s v="Retail Stor"/>
    <n v="29"/>
    <n v="4999"/>
    <n v="144971"/>
    <n v="171357"/>
    <n v="4.5999999999999996"/>
    <n v="2"/>
    <n v="28994.2"/>
    <n v="129885"/>
  </r>
  <r>
    <s v="SLD2030"/>
    <x v="4"/>
    <x v="3"/>
    <x v="2"/>
    <x v="4"/>
    <s v="Wholesale"/>
    <n v="172"/>
    <n v="1499"/>
    <n v="257828"/>
    <n v="260614"/>
    <n v="2.2000000000000002"/>
    <n v="5"/>
    <n v="51565.600000000006"/>
    <n v="278632"/>
  </r>
  <r>
    <s v="SLD2031"/>
    <x v="9"/>
    <x v="0"/>
    <x v="0"/>
    <x v="0"/>
    <s v="Wholesale Dealer"/>
    <n v="32"/>
    <n v="14999"/>
    <n v="479968"/>
    <n v="484894"/>
    <n v="1.3"/>
    <n v="0"/>
    <n v="95993.600000000006"/>
    <n v="398771"/>
  </r>
  <r>
    <s v="SLD2032"/>
    <x v="5"/>
    <x v="0"/>
    <x v="3"/>
    <x v="3"/>
    <s v="Goverment"/>
    <n v="113"/>
    <n v="9999"/>
    <n v="1129887"/>
    <n v="1159690"/>
    <n v="6.6"/>
    <n v="4"/>
    <n v="225977.40000000002"/>
    <n v="1147728"/>
  </r>
  <r>
    <s v="SLD2033"/>
    <x v="4"/>
    <x v="0"/>
    <x v="0"/>
    <x v="1"/>
    <s v="Retail Store"/>
    <n v="164"/>
    <n v="9999"/>
    <n v="1639836"/>
    <n v="1713766"/>
    <n v="10.9"/>
    <n v="13"/>
    <n v="327967.2"/>
    <n v="1487932"/>
  </r>
  <r>
    <s v="SLD2034"/>
    <x v="6"/>
    <x v="2"/>
    <x v="3"/>
    <x v="4"/>
    <s v="Government"/>
    <n v="85"/>
    <n v="499"/>
    <n v="42415"/>
    <n v="45968"/>
    <n v="5.0999999999999996"/>
    <n v="1"/>
    <n v="8483"/>
    <n v="34529"/>
  </r>
  <r>
    <s v="SLD2035"/>
    <x v="5"/>
    <x v="3"/>
    <x v="3"/>
    <x v="3"/>
    <s v="Wholesale Dealer"/>
    <n v="100"/>
    <n v="1499"/>
    <n v="149900"/>
    <n v="130726"/>
    <n v="10.199999999999999"/>
    <n v="0"/>
    <n v="29980"/>
    <n v="136363"/>
  </r>
  <r>
    <s v="SLD2036"/>
    <x v="6"/>
    <x v="3"/>
    <x v="0"/>
    <x v="4"/>
    <s v="Government"/>
    <n v="140"/>
    <n v="4999"/>
    <n v="699860"/>
    <n v="629765"/>
    <n v="6.2"/>
    <n v="8"/>
    <n v="139972"/>
    <n v="634183"/>
  </r>
  <r>
    <s v="SLD2037"/>
    <x v="6"/>
    <x v="3"/>
    <x v="1"/>
    <x v="3"/>
    <s v="Government"/>
    <n v="19"/>
    <n v="1499"/>
    <n v="28481"/>
    <n v="28731"/>
    <n v="11.9"/>
    <n v="1"/>
    <n v="5696.2000000000007"/>
    <n v="24070"/>
  </r>
  <r>
    <s v="SLD2038"/>
    <x v="2"/>
    <x v="1"/>
    <x v="4"/>
    <x v="0"/>
    <s v="Wholesale Dealer"/>
    <n v="29"/>
    <n v="2499"/>
    <n v="72471"/>
    <n v="67700"/>
    <n v="3.4"/>
    <n v="2"/>
    <n v="14494.2"/>
    <n v="71277"/>
  </r>
  <r>
    <s v="SLD2039"/>
    <x v="6"/>
    <x v="3"/>
    <x v="3"/>
    <x v="4"/>
    <s v="Retail Store"/>
    <n v="185"/>
    <n v="2499"/>
    <n v="462315"/>
    <n v="485131"/>
    <n v="12.7"/>
    <n v="12"/>
    <n v="92463"/>
    <n v="391887"/>
  </r>
  <r>
    <s v="SLD2040"/>
    <x v="8"/>
    <x v="0"/>
    <x v="4"/>
    <x v="4"/>
    <s v="Government"/>
    <n v="61"/>
    <n v="24999"/>
    <n v="1524939"/>
    <n v="1561256"/>
    <n v="10.8"/>
    <n v="1"/>
    <n v="304987.8"/>
    <n v="1543998"/>
  </r>
  <r>
    <s v="SLD2041"/>
    <x v="5"/>
    <x v="0"/>
    <x v="0"/>
    <x v="4"/>
    <s v="Wholesale Dealer"/>
    <n v="145"/>
    <n v="2499"/>
    <n v="362355"/>
    <n v="346017"/>
    <n v="4.8"/>
    <n v="5"/>
    <n v="72471"/>
    <n v="402024"/>
  </r>
  <r>
    <s v="SLD2042"/>
    <x v="5"/>
    <x v="0"/>
    <x v="1"/>
    <x v="3"/>
    <s v="Online Customer"/>
    <n v="155"/>
    <n v="1499"/>
    <n v="232345"/>
    <n v="253664"/>
    <n v="0.7"/>
    <n v="6"/>
    <n v="46469"/>
    <n v="233649"/>
  </r>
  <r>
    <s v="SLD2043"/>
    <x v="5"/>
    <x v="0"/>
    <x v="2"/>
    <x v="3"/>
    <s v="Retail Store"/>
    <n v="32"/>
    <n v="2499"/>
    <n v="79968"/>
    <n v="95241"/>
    <n v="11.4"/>
    <n v="1"/>
    <n v="15993.6"/>
    <n v="70816"/>
  </r>
  <r>
    <s v="SLD2044"/>
    <x v="3"/>
    <x v="0"/>
    <x v="3"/>
    <x v="1"/>
    <s v="Corporate Client"/>
    <n v="96"/>
    <n v="499"/>
    <n v="47904"/>
    <n v="56748"/>
    <n v="9.8000000000000007"/>
    <n v="6"/>
    <n v="9580.8000000000011"/>
    <n v="49121"/>
  </r>
  <r>
    <s v="SLD2045"/>
    <x v="6"/>
    <x v="3"/>
    <x v="4"/>
    <x v="0"/>
    <s v="Online Customer"/>
    <n v="55"/>
    <n v="4999"/>
    <n v="274945"/>
    <n v="279760"/>
    <n v="0"/>
    <n v="3"/>
    <n v="54989"/>
    <n v="245000"/>
  </r>
  <r>
    <s v="SLD2046"/>
    <x v="5"/>
    <x v="1"/>
    <x v="0"/>
    <x v="1"/>
    <s v="Retail Store"/>
    <n v="196"/>
    <n v="2499"/>
    <n v="489804"/>
    <n v="438000"/>
    <n v="11.8"/>
    <n v="13"/>
    <n v="97960.8"/>
    <n v="551326"/>
  </r>
  <r>
    <s v="SLD2047"/>
    <x v="2"/>
    <x v="2"/>
    <x v="1"/>
    <x v="2"/>
    <s v="Wholesale Dealer"/>
    <n v="61"/>
    <n v="499"/>
    <n v="30439"/>
    <n v="27924"/>
    <n v="0"/>
    <n v="1"/>
    <n v="6087.8"/>
    <n v="32377"/>
  </r>
  <r>
    <s v="SLD2048"/>
    <x v="5"/>
    <x v="1"/>
    <x v="2"/>
    <x v="3"/>
    <s v="Corporate Client"/>
    <n v="82"/>
    <n v="9999"/>
    <n v="819918"/>
    <n v="794542"/>
    <n v="10.6"/>
    <n v="3"/>
    <n v="163983.6"/>
    <n v="742484"/>
  </r>
  <r>
    <s v="SLD2049"/>
    <x v="2"/>
    <x v="1"/>
    <x v="3"/>
    <x v="0"/>
    <s v="Online Customer"/>
    <n v="186"/>
    <n v="499"/>
    <n v="92814"/>
    <n v="84573"/>
    <n v="5.4"/>
    <n v="9"/>
    <n v="18562.8"/>
    <n v="83008"/>
  </r>
  <r>
    <s v="SLD2050"/>
    <x v="5"/>
    <x v="2"/>
    <x v="1"/>
    <x v="2"/>
    <s v="Onlne Customer"/>
    <n v="30"/>
    <n v="2499"/>
    <n v="74970"/>
    <n v="66649"/>
    <n v="5.8"/>
    <n v="1"/>
    <n v="14994"/>
    <n v="82495"/>
  </r>
  <r>
    <s v="SLD2051"/>
    <x v="10"/>
    <x v="3"/>
    <x v="1"/>
    <x v="0"/>
    <s v="Wholesale Dealer"/>
    <n v="191"/>
    <n v="499"/>
    <n v="95309"/>
    <n v="102908"/>
    <n v="2.2999999999999998"/>
    <n v="9"/>
    <n v="19061.8"/>
    <n v="91902"/>
  </r>
  <r>
    <s v="SLD2052"/>
    <x v="5"/>
    <x v="2"/>
    <x v="1"/>
    <x v="2"/>
    <s v="Wholesale Dealer"/>
    <n v="10"/>
    <n v="2499"/>
    <n v="24990"/>
    <n v="24011"/>
    <n v="5.8"/>
    <n v="0"/>
    <n v="4998"/>
    <n v="27322"/>
  </r>
  <r>
    <s v="SLD2053"/>
    <x v="5"/>
    <x v="2"/>
    <x v="2"/>
    <x v="3"/>
    <s v="Online Customer"/>
    <n v="142"/>
    <n v="499"/>
    <n v="70858"/>
    <n v="77958"/>
    <n v="13.1"/>
    <n v="7"/>
    <n v="14171.6"/>
    <n v="61776"/>
  </r>
  <r>
    <s v="SLD2054"/>
    <x v="5"/>
    <x v="2"/>
    <x v="3"/>
    <x v="4"/>
    <s v="Wholesale Dealer"/>
    <n v="32"/>
    <n v="999"/>
    <n v="31968"/>
    <n v="28006"/>
    <n v="1.2"/>
    <n v="2"/>
    <n v="6393.6"/>
    <n v="28585"/>
  </r>
  <r>
    <s v="SLD2055"/>
    <x v="5"/>
    <x v="0"/>
    <x v="4"/>
    <x v="3"/>
    <s v="Corporate Client"/>
    <n v="185"/>
    <n v="24999"/>
    <n v="4624815"/>
    <n v="4897373"/>
    <n v="4.5"/>
    <n v="7"/>
    <n v="924963"/>
    <n v="4960814"/>
  </r>
  <r>
    <s v="SLD2056"/>
    <x v="5"/>
    <x v="3"/>
    <x v="0"/>
    <x v="3"/>
    <s v="Retail Store"/>
    <n v="18"/>
    <n v="1499"/>
    <n v="26982"/>
    <n v="27472"/>
    <n v="1.8"/>
    <n v="0"/>
    <n v="5396.4000000000005"/>
    <n v="23202"/>
  </r>
  <r>
    <s v="SLD2057"/>
    <x v="5"/>
    <x v="3"/>
    <x v="1"/>
    <x v="2"/>
    <s v="Retail Store"/>
    <n v="183"/>
    <n v="24999"/>
    <n v="4574817"/>
    <n v="4974731"/>
    <n v="6.8"/>
    <n v="4"/>
    <n v="914963.4"/>
    <n v="5215936"/>
  </r>
  <r>
    <s v="SLD2058"/>
    <x v="5"/>
    <x v="3"/>
    <x v="2"/>
    <x v="2"/>
    <s v="Government"/>
    <n v="37"/>
    <n v="1499"/>
    <n v="55463"/>
    <n v="48470"/>
    <n v="13.5"/>
    <n v="0"/>
    <n v="11092.6"/>
    <n v="48942"/>
  </r>
  <r>
    <s v="SLD2059"/>
    <x v="5"/>
    <x v="3"/>
    <x v="3"/>
    <x v="1"/>
    <s v="Government"/>
    <n v="23"/>
    <n v="999"/>
    <n v="22977"/>
    <n v="24358"/>
    <n v="11.3"/>
    <n v="1"/>
    <n v="4595.4000000000005"/>
    <n v="26015"/>
  </r>
  <r>
    <s v="SLD2060"/>
    <x v="5"/>
    <x v="2"/>
    <x v="4"/>
    <x v="1"/>
    <s v="Retail Store"/>
    <n v="100"/>
    <n v="1499"/>
    <n v="149900"/>
    <n v="163563"/>
    <n v="9.9"/>
    <n v="4"/>
    <n v="29980"/>
    <n v="153381"/>
  </r>
  <r>
    <s v="SLD2061"/>
    <x v="3"/>
    <x v="0"/>
    <x v="0"/>
    <x v="3"/>
    <s v="Government"/>
    <n v="147"/>
    <n v="4999"/>
    <n v="734853"/>
    <n v="769041"/>
    <n v="2.1"/>
    <n v="8"/>
    <n v="146970.6"/>
    <n v="743668"/>
  </r>
  <r>
    <s v="SLD2062"/>
    <x v="3"/>
    <x v="0"/>
    <x v="1"/>
    <x v="2"/>
    <s v="Corporate Client"/>
    <n v="159"/>
    <n v="24999"/>
    <n v="3974841"/>
    <n v="4762206"/>
    <n v="9.1999999999999993"/>
    <n v="7"/>
    <n v="794968.20000000007"/>
    <n v="3997630"/>
  </r>
  <r>
    <s v="SLD2063"/>
    <x v="3"/>
    <x v="0"/>
    <x v="2"/>
    <x v="1"/>
    <s v="Government"/>
    <n v="63"/>
    <n v="2499"/>
    <n v="157437"/>
    <n v="165021"/>
    <n v="11.8"/>
    <n v="2"/>
    <n v="31487.4"/>
    <n v="171074"/>
  </r>
  <r>
    <s v="SLD2064"/>
    <x v="3"/>
    <x v="0"/>
    <x v="3"/>
    <x v="2"/>
    <s v="Wholesale Dealer"/>
    <n v="63"/>
    <n v="14999"/>
    <n v="944937"/>
    <n v="1098188"/>
    <n v="12.1"/>
    <n v="0"/>
    <n v="188987.40000000002"/>
    <n v="1029872"/>
  </r>
  <r>
    <s v="SLD2065"/>
    <x v="1"/>
    <x v="2"/>
    <x v="2"/>
    <x v="3"/>
    <s v="Wholesale Dealer"/>
    <n v="160"/>
    <n v="14999"/>
    <n v="2399840"/>
    <n v="2793460"/>
    <n v="9.1"/>
    <n v="11"/>
    <n v="479968"/>
    <n v="2033961"/>
  </r>
  <r>
    <s v="SLD2066"/>
    <x v="7"/>
    <x v="3"/>
    <x v="2"/>
    <x v="4"/>
    <s v="Retail Stor"/>
    <n v="24"/>
    <n v="2499"/>
    <n v="59976"/>
    <n v="70628"/>
    <n v="6.6"/>
    <n v="1"/>
    <n v="11995.2"/>
    <n v="51917"/>
  </r>
  <r>
    <s v="SLD2067"/>
    <x v="2"/>
    <x v="1"/>
    <x v="1"/>
    <x v="2"/>
    <s v="Corporate Client"/>
    <n v="18"/>
    <n v="2499"/>
    <n v="44982"/>
    <n v="44733"/>
    <n v="6.1"/>
    <n v="0"/>
    <n v="8996.4"/>
    <n v="40949"/>
  </r>
  <r>
    <s v="SLD2068"/>
    <x v="0"/>
    <x v="2"/>
    <x v="0"/>
    <x v="4"/>
    <s v="Government"/>
    <n v="28"/>
    <n v="499"/>
    <n v="13972"/>
    <n v="14433"/>
    <n v="13.6"/>
    <n v="1"/>
    <n v="2794.4"/>
    <n v="12595"/>
  </r>
  <r>
    <s v="SLD2069"/>
    <x v="11"/>
    <x v="0"/>
    <x v="2"/>
    <x v="0"/>
    <s v="Corporate Client"/>
    <n v="61"/>
    <n v="999"/>
    <n v="60939"/>
    <n v="62432"/>
    <n v="2.2999999999999998"/>
    <n v="1"/>
    <n v="12187.800000000001"/>
    <n v="58885"/>
  </r>
  <r>
    <s v="SLD2070"/>
    <x v="3"/>
    <x v="1"/>
    <x v="4"/>
    <x v="0"/>
    <s v="Wholesale Dealer"/>
    <n v="166"/>
    <n v="999"/>
    <n v="165834"/>
    <n v="183421"/>
    <n v="7.2"/>
    <n v="9"/>
    <n v="33166.800000000003"/>
    <n v="148815"/>
  </r>
  <r>
    <s v="SLD2071"/>
    <x v="3"/>
    <x v="2"/>
    <x v="0"/>
    <x v="3"/>
    <s v="Online Customer"/>
    <n v="12"/>
    <n v="499"/>
    <n v="5988"/>
    <n v="6754"/>
    <n v="2"/>
    <n v="0"/>
    <n v="1197.6000000000001"/>
    <n v="5702"/>
  </r>
  <r>
    <s v="SLD2072"/>
    <x v="2"/>
    <x v="0"/>
    <x v="3"/>
    <x v="3"/>
    <s v="Government"/>
    <n v="46"/>
    <n v="999"/>
    <n v="45954"/>
    <n v="52080"/>
    <n v="8.1999999999999993"/>
    <n v="3"/>
    <n v="9190.8000000000011"/>
    <n v="47824"/>
  </r>
  <r>
    <s v="SLD2073"/>
    <x v="3"/>
    <x v="2"/>
    <x v="2"/>
    <x v="2"/>
    <s v="Retail Store"/>
    <n v="128"/>
    <n v="2499"/>
    <n v="319872"/>
    <n v="289245"/>
    <n v="2"/>
    <n v="5"/>
    <n v="63974.400000000001"/>
    <n v="292373"/>
  </r>
  <r>
    <s v="SLD2074"/>
    <x v="3"/>
    <x v="2"/>
    <x v="3"/>
    <x v="2"/>
    <s v="Government"/>
    <n v="78"/>
    <n v="24999"/>
    <n v="1949922"/>
    <n v="2246251"/>
    <n v="1.8"/>
    <n v="0"/>
    <n v="389984.4"/>
    <n v="1587091"/>
  </r>
  <r>
    <s v="SLD2075"/>
    <x v="3"/>
    <x v="1"/>
    <x v="4"/>
    <x v="1"/>
    <s v="Wholesale Dealer"/>
    <n v="173"/>
    <n v="1499"/>
    <n v="259327"/>
    <n v="222357"/>
    <n v="4.2"/>
    <n v="7"/>
    <n v="51865.4"/>
    <n v="242163"/>
  </r>
  <r>
    <s v="SLD2076"/>
    <x v="8"/>
    <x v="3"/>
    <x v="0"/>
    <x v="3"/>
    <s v="Wholesale Dealer"/>
    <n v="68"/>
    <n v="14999"/>
    <n v="1019932"/>
    <n v="1207281"/>
    <n v="3.1"/>
    <n v="4"/>
    <n v="203986.40000000002"/>
    <n v="1103122"/>
  </r>
  <r>
    <s v="SLD2077"/>
    <x v="7"/>
    <x v="3"/>
    <x v="0"/>
    <x v="2"/>
    <s v="Corporate Client"/>
    <n v="96"/>
    <n v="499"/>
    <n v="47904"/>
    <n v="40748"/>
    <n v="1.2"/>
    <n v="0"/>
    <n v="9580.8000000000011"/>
    <n v="49435"/>
  </r>
  <r>
    <s v="SLD2078"/>
    <x v="3"/>
    <x v="3"/>
    <x v="2"/>
    <x v="0"/>
    <s v="Corporate Client"/>
    <n v="76"/>
    <n v="9999"/>
    <n v="759924"/>
    <n v="776452"/>
    <n v="14.2"/>
    <n v="4"/>
    <n v="151984.80000000002"/>
    <n v="666452"/>
  </r>
  <r>
    <s v="SLD2079"/>
    <x v="8"/>
    <x v="3"/>
    <x v="3"/>
    <x v="3"/>
    <s v="Government"/>
    <n v="85"/>
    <n v="4999"/>
    <n v="424915"/>
    <n v="488152"/>
    <n v="5.4"/>
    <n v="2"/>
    <n v="84983"/>
    <n v="354302"/>
  </r>
  <r>
    <s v="SLD2080"/>
    <x v="1"/>
    <x v="1"/>
    <x v="4"/>
    <x v="3"/>
    <s v="Wholesale Dealer"/>
    <n v="164"/>
    <n v="9999"/>
    <n v="1639836"/>
    <n v="1570985"/>
    <n v="11.8"/>
    <n v="13"/>
    <n v="327967.2"/>
    <n v="1857697"/>
  </r>
  <r>
    <s v="SLD2081"/>
    <x v="9"/>
    <x v="0"/>
    <x v="0"/>
    <x v="4"/>
    <s v="Corporate Client"/>
    <n v="54"/>
    <n v="2499"/>
    <n v="134946"/>
    <n v="140884"/>
    <n v="9.9"/>
    <n v="0"/>
    <n v="26989.200000000001"/>
    <n v="133111"/>
  </r>
  <r>
    <s v="SLD2082"/>
    <x v="9"/>
    <x v="0"/>
    <x v="1"/>
    <x v="1"/>
    <s v="Retail Store"/>
    <n v="26"/>
    <n v="2499"/>
    <n v="64974"/>
    <n v="67301"/>
    <n v="9.5"/>
    <n v="1"/>
    <n v="12994.800000000001"/>
    <n v="72203"/>
  </r>
  <r>
    <s v="SLD2083"/>
    <x v="11"/>
    <x v="2"/>
    <x v="1"/>
    <x v="1"/>
    <s v="Corporate Client"/>
    <n v="36"/>
    <n v="9999"/>
    <n v="359964"/>
    <n v="323446"/>
    <n v="12.5"/>
    <n v="1"/>
    <n v="71992.800000000003"/>
    <n v="296256"/>
  </r>
  <r>
    <s v="SLD2084"/>
    <x v="0"/>
    <x v="0"/>
    <x v="3"/>
    <x v="3"/>
    <s v="Corporate Client"/>
    <n v="85"/>
    <n v="1499"/>
    <n v="127415"/>
    <n v="143915"/>
    <n v="6.7"/>
    <n v="3"/>
    <n v="25483"/>
    <n v="128538"/>
  </r>
  <r>
    <s v="SLD2085"/>
    <x v="2"/>
    <x v="0"/>
    <x v="0"/>
    <x v="4"/>
    <s v="Online Customer"/>
    <n v="122"/>
    <n v="999"/>
    <n v="121878"/>
    <n v="121901"/>
    <n v="3.2"/>
    <n v="2"/>
    <n v="24375.600000000002"/>
    <n v="131111"/>
  </r>
  <r>
    <s v="SLD2086"/>
    <x v="9"/>
    <x v="1"/>
    <x v="0"/>
    <x v="1"/>
    <s v="Government"/>
    <n v="40"/>
    <n v="4999"/>
    <n v="199960"/>
    <n v="219686"/>
    <n v="0.9"/>
    <n v="1"/>
    <n v="39992"/>
    <n v="202326"/>
  </r>
  <r>
    <s v="SLD2087"/>
    <x v="9"/>
    <x v="1"/>
    <x v="1"/>
    <x v="4"/>
    <s v="Corporate Client"/>
    <n v="110"/>
    <n v="2499"/>
    <n v="274890"/>
    <n v="328379"/>
    <n v="5.2"/>
    <n v="5"/>
    <n v="54978"/>
    <n v="248981"/>
  </r>
  <r>
    <s v="SLD2088"/>
    <x v="5"/>
    <x v="3"/>
    <x v="3"/>
    <x v="1"/>
    <s v="Goverment"/>
    <n v="172"/>
    <n v="499"/>
    <n v="85828"/>
    <n v="100793"/>
    <n v="2.2999999999999998"/>
    <n v="4"/>
    <n v="17165.600000000002"/>
    <n v="91652"/>
  </r>
  <r>
    <s v="SLD2089"/>
    <x v="9"/>
    <x v="1"/>
    <x v="3"/>
    <x v="3"/>
    <s v="Government"/>
    <n v="49"/>
    <n v="14999"/>
    <n v="734951"/>
    <n v="702628"/>
    <n v="4.9000000000000004"/>
    <n v="3"/>
    <n v="146990.20000000001"/>
    <n v="823618"/>
  </r>
  <r>
    <s v="SLD2090"/>
    <x v="7"/>
    <x v="3"/>
    <x v="4"/>
    <x v="4"/>
    <s v="Retail Store"/>
    <n v="153"/>
    <n v="24999"/>
    <n v="3824847"/>
    <n v="4032504"/>
    <n v="10.3"/>
    <n v="9"/>
    <n v="764969.4"/>
    <n v="3203255"/>
  </r>
  <r>
    <s v="SLD2091"/>
    <x v="3"/>
    <x v="2"/>
    <x v="0"/>
    <x v="0"/>
    <s v="Wholesale"/>
    <n v="18"/>
    <n v="9999"/>
    <n v="179982"/>
    <n v="153479"/>
    <n v="13.6"/>
    <n v="0"/>
    <n v="35996.400000000001"/>
    <n v="155941"/>
  </r>
  <r>
    <s v="SLD2092"/>
    <x v="9"/>
    <x v="2"/>
    <x v="1"/>
    <x v="3"/>
    <s v="Retail Store"/>
    <n v="186"/>
    <n v="4999"/>
    <n v="929814"/>
    <n v="949661"/>
    <n v="11.7"/>
    <n v="14"/>
    <n v="185962.80000000002"/>
    <n v="827093"/>
  </r>
  <r>
    <s v="SLD2093"/>
    <x v="1"/>
    <x v="1"/>
    <x v="3"/>
    <x v="3"/>
    <s v="Wholesale Dealer"/>
    <n v="61"/>
    <n v="24999"/>
    <n v="1524939"/>
    <n v="1373236"/>
    <n v="3.4"/>
    <n v="4"/>
    <n v="304987.8"/>
    <n v="1722042"/>
  </r>
  <r>
    <s v="SLD2094"/>
    <x v="9"/>
    <x v="2"/>
    <x v="3"/>
    <x v="0"/>
    <s v="Wholesale Dealer"/>
    <n v="122"/>
    <n v="14999"/>
    <n v="1829878"/>
    <n v="1800675"/>
    <n v="4.0999999999999996"/>
    <n v="8"/>
    <n v="365975.60000000003"/>
    <n v="1511068"/>
  </r>
  <r>
    <s v="SLD2095"/>
    <x v="11"/>
    <x v="3"/>
    <x v="1"/>
    <x v="3"/>
    <s v="Goverment"/>
    <n v="49"/>
    <n v="2499"/>
    <n v="122451"/>
    <n v="114363"/>
    <n v="0.6"/>
    <n v="3"/>
    <n v="24490.2"/>
    <n v="126360"/>
  </r>
  <r>
    <s v="SLD2096"/>
    <x v="9"/>
    <x v="3"/>
    <x v="0"/>
    <x v="2"/>
    <s v="Government"/>
    <n v="176"/>
    <n v="9999"/>
    <n v="1759824"/>
    <n v="1506115"/>
    <n v="14.8"/>
    <n v="6"/>
    <n v="351964.80000000005"/>
    <n v="1423353"/>
  </r>
  <r>
    <s v="SLD2097"/>
    <x v="9"/>
    <x v="3"/>
    <x v="1"/>
    <x v="1"/>
    <s v="Online Customer"/>
    <n v="168"/>
    <n v="14999"/>
    <n v="2519832"/>
    <n v="2487048"/>
    <n v="12.8"/>
    <n v="6"/>
    <n v="503966.4"/>
    <n v="2072114"/>
  </r>
  <r>
    <s v="SLD2098"/>
    <x v="9"/>
    <x v="3"/>
    <x v="2"/>
    <x v="3"/>
    <s v="Retail Store"/>
    <n v="179"/>
    <n v="9999"/>
    <n v="1789821"/>
    <n v="2044599"/>
    <n v="12.3"/>
    <n v="6"/>
    <n v="357964.2"/>
    <n v="1627437"/>
  </r>
  <r>
    <s v="SLD2099"/>
    <x v="9"/>
    <x v="3"/>
    <x v="3"/>
    <x v="0"/>
    <s v="Government"/>
    <n v="166"/>
    <n v="4999"/>
    <n v="829834"/>
    <n v="767096"/>
    <n v="8.1"/>
    <n v="13"/>
    <n v="165966.80000000002"/>
    <n v="879098"/>
  </r>
  <r>
    <s v="SLD2100"/>
    <x v="9"/>
    <x v="1"/>
    <x v="4"/>
    <x v="1"/>
    <s v="Corporate Client"/>
    <n v="11"/>
    <n v="999"/>
    <n v="10989"/>
    <n v="10456"/>
    <n v="11.2"/>
    <n v="0"/>
    <n v="2197.8000000000002"/>
    <n v="11117"/>
  </r>
  <r>
    <s v="SLD2101"/>
    <x v="9"/>
    <x v="3"/>
    <x v="4"/>
    <x v="1"/>
    <s v="Government"/>
    <n v="33"/>
    <n v="499"/>
    <n v="16467"/>
    <n v="14553"/>
    <n v="4.7"/>
    <n v="2"/>
    <n v="3293.4"/>
    <n v="18302"/>
  </r>
  <r>
    <s v="SLD2102"/>
    <x v="2"/>
    <x v="0"/>
    <x v="1"/>
    <x v="3"/>
    <s v="Online Customer"/>
    <n v="58"/>
    <n v="1499"/>
    <n v="86942"/>
    <n v="90511"/>
    <n v="0.2"/>
    <n v="4"/>
    <n v="17388.400000000001"/>
    <n v="74920"/>
  </r>
  <r>
    <s v="SLD2103"/>
    <x v="2"/>
    <x v="0"/>
    <x v="2"/>
    <x v="4"/>
    <s v="Government"/>
    <n v="99"/>
    <n v="2499"/>
    <n v="247401"/>
    <n v="287473"/>
    <n v="11.4"/>
    <n v="5"/>
    <n v="49480.200000000004"/>
    <n v="272704"/>
  </r>
  <r>
    <s v="SLD2104"/>
    <x v="7"/>
    <x v="0"/>
    <x v="3"/>
    <x v="3"/>
    <s v="Online Customer"/>
    <n v="86"/>
    <n v="499"/>
    <n v="42914"/>
    <n v="38828"/>
    <n v="0.8"/>
    <n v="1"/>
    <n v="8582.8000000000011"/>
    <n v="44479"/>
  </r>
  <r>
    <s v="SLD2105"/>
    <x v="5"/>
    <x v="1"/>
    <x v="4"/>
    <x v="1"/>
    <s v="Retail Store"/>
    <n v="23"/>
    <n v="1499"/>
    <n v="34477"/>
    <n v="30307"/>
    <n v="12.4"/>
    <n v="0"/>
    <n v="6895.4000000000005"/>
    <n v="28703"/>
  </r>
  <r>
    <s v="SLD2106"/>
    <x v="2"/>
    <x v="1"/>
    <x v="0"/>
    <x v="0"/>
    <s v="Government"/>
    <n v="75"/>
    <n v="9999"/>
    <n v="749925"/>
    <n v="871110"/>
    <n v="13.2"/>
    <n v="2"/>
    <n v="149985"/>
    <n v="786911"/>
  </r>
  <r>
    <s v="SLD2107"/>
    <x v="2"/>
    <x v="1"/>
    <x v="1"/>
    <x v="3"/>
    <s v="Corporate Client"/>
    <n v="39"/>
    <n v="1499"/>
    <n v="58461"/>
    <n v="61093"/>
    <n v="4.5"/>
    <n v="0"/>
    <n v="11692.2"/>
    <n v="66432"/>
  </r>
  <r>
    <s v="SLD2108"/>
    <x v="2"/>
    <x v="1"/>
    <x v="2"/>
    <x v="3"/>
    <s v="Online Customer"/>
    <n v="27"/>
    <n v="1499"/>
    <n v="40473"/>
    <n v="39029"/>
    <n v="3.8"/>
    <n v="1"/>
    <n v="8094.6"/>
    <n v="45663"/>
  </r>
  <r>
    <s v="SLD2109"/>
    <x v="2"/>
    <x v="1"/>
    <x v="3"/>
    <x v="0"/>
    <s v="Government"/>
    <n v="143"/>
    <n v="1499"/>
    <n v="214357"/>
    <n v="228118"/>
    <n v="1.1000000000000001"/>
    <n v="6"/>
    <n v="42871.4"/>
    <n v="181500"/>
  </r>
  <r>
    <s v="SLD2110"/>
    <x v="2"/>
    <x v="0"/>
    <x v="4"/>
    <x v="2"/>
    <s v="Online Customer"/>
    <n v="183"/>
    <n v="4999"/>
    <n v="914817"/>
    <n v="967611"/>
    <n v="0"/>
    <n v="3"/>
    <n v="182963.40000000002"/>
    <n v="927176"/>
  </r>
  <r>
    <s v="SLD2111"/>
    <x v="2"/>
    <x v="2"/>
    <x v="0"/>
    <x v="2"/>
    <s v="Corporate Client"/>
    <n v="121"/>
    <n v="9999"/>
    <n v="1209879"/>
    <n v="1426645"/>
    <n v="3"/>
    <n v="2"/>
    <n v="241975.80000000002"/>
    <n v="1192372"/>
  </r>
  <r>
    <s v="SLD2112"/>
    <x v="2"/>
    <x v="1"/>
    <x v="4"/>
    <x v="4"/>
    <s v="Corporate Client"/>
    <n v="56"/>
    <n v="1499"/>
    <n v="83944"/>
    <n v="74695"/>
    <n v="6"/>
    <n v="0"/>
    <n v="16788.8"/>
    <n v="94590"/>
  </r>
  <r>
    <s v="SLD2113"/>
    <x v="2"/>
    <x v="2"/>
    <x v="2"/>
    <x v="4"/>
    <s v="Wholesale Dealer"/>
    <n v="50"/>
    <n v="999"/>
    <n v="49950"/>
    <n v="51584"/>
    <n v="3.2"/>
    <n v="2"/>
    <n v="9990"/>
    <n v="45252"/>
  </r>
  <r>
    <s v="SLD2114"/>
    <x v="3"/>
    <x v="1"/>
    <x v="2"/>
    <x v="3"/>
    <s v="Goverment"/>
    <n v="155"/>
    <n v="14999"/>
    <n v="2324845"/>
    <n v="2594636"/>
    <n v="1.3"/>
    <n v="10"/>
    <n v="464969"/>
    <n v="2295113"/>
  </r>
  <r>
    <s v="SLD2115"/>
    <x v="2"/>
    <x v="2"/>
    <x v="4"/>
    <x v="4"/>
    <s v="Government"/>
    <n v="73"/>
    <n v="499"/>
    <n v="36427"/>
    <n v="41552"/>
    <n v="12.5"/>
    <n v="0"/>
    <n v="7285.4000000000005"/>
    <n v="31713"/>
  </r>
  <r>
    <s v="SLD2116"/>
    <x v="7"/>
    <x v="1"/>
    <x v="3"/>
    <x v="1"/>
    <s v="Corporate Client"/>
    <n v="88"/>
    <n v="9999"/>
    <n v="879912"/>
    <n v="868218"/>
    <n v="3.8"/>
    <n v="6"/>
    <n v="175982.40000000002"/>
    <n v="968435"/>
  </r>
  <r>
    <s v="SLD2117"/>
    <x v="5"/>
    <x v="3"/>
    <x v="1"/>
    <x v="2"/>
    <s v="Government"/>
    <n v="28"/>
    <n v="2499"/>
    <n v="69972"/>
    <n v="76529"/>
    <n v="8"/>
    <n v="2"/>
    <n v="13994.400000000001"/>
    <n v="78723"/>
  </r>
  <r>
    <s v="SLD2118"/>
    <x v="2"/>
    <x v="3"/>
    <x v="2"/>
    <x v="0"/>
    <s v="Online Customer"/>
    <n v="189"/>
    <n v="4999"/>
    <n v="944811"/>
    <n v="921309"/>
    <n v="7.9"/>
    <n v="6"/>
    <n v="188962.2"/>
    <n v="1013683"/>
  </r>
  <r>
    <s v="SLD2119"/>
    <x v="2"/>
    <x v="3"/>
    <x v="3"/>
    <x v="4"/>
    <s v="Government"/>
    <n v="30"/>
    <n v="4999"/>
    <n v="149970"/>
    <n v="148352"/>
    <n v="10.5"/>
    <n v="0"/>
    <n v="29994"/>
    <n v="154291"/>
  </r>
  <r>
    <s v="SLD2120"/>
    <x v="2"/>
    <x v="3"/>
    <x v="4"/>
    <x v="4"/>
    <s v="Government"/>
    <n v="100"/>
    <n v="9999"/>
    <n v="999900"/>
    <n v="1151075"/>
    <n v="12.3"/>
    <n v="4"/>
    <n v="199980"/>
    <n v="1076393"/>
  </r>
  <r>
    <s v="SLD2121"/>
    <x v="10"/>
    <x v="0"/>
    <x v="0"/>
    <x v="3"/>
    <s v="Corporate Client"/>
    <n v="34"/>
    <n v="499"/>
    <n v="16966"/>
    <n v="19182"/>
    <n v="4.7"/>
    <n v="1"/>
    <n v="3393.2000000000003"/>
    <n v="14874"/>
  </r>
  <r>
    <s v="SLD2122"/>
    <x v="10"/>
    <x v="0"/>
    <x v="1"/>
    <x v="4"/>
    <s v="Retail Store"/>
    <n v="26"/>
    <n v="9999"/>
    <n v="259974"/>
    <n v="293564"/>
    <n v="8.6"/>
    <n v="1"/>
    <n v="51994.8"/>
    <n v="263696"/>
  </r>
  <r>
    <s v="SLD2123"/>
    <x v="10"/>
    <x v="0"/>
    <x v="2"/>
    <x v="0"/>
    <s v="Corporate Client"/>
    <n v="116"/>
    <n v="2499"/>
    <n v="289884"/>
    <n v="278433"/>
    <n v="10.1"/>
    <n v="3"/>
    <n v="57976.800000000003"/>
    <n v="301068"/>
  </r>
  <r>
    <s v="SLD2124"/>
    <x v="10"/>
    <x v="0"/>
    <x v="3"/>
    <x v="2"/>
    <s v="Online Customer"/>
    <n v="156"/>
    <n v="2499"/>
    <n v="389844"/>
    <n v="465772"/>
    <n v="3.9"/>
    <n v="6"/>
    <n v="77968.800000000003"/>
    <n v="335983"/>
  </r>
  <r>
    <s v="SLD2125"/>
    <x v="2"/>
    <x v="0"/>
    <x v="0"/>
    <x v="4"/>
    <s v="Retail Store"/>
    <n v="29"/>
    <n v="1499"/>
    <n v="43471"/>
    <n v="41121"/>
    <n v="6.8"/>
    <n v="2"/>
    <n v="8694.2000000000007"/>
    <n v="48857"/>
  </r>
  <r>
    <s v="SLD2126"/>
    <x v="10"/>
    <x v="1"/>
    <x v="0"/>
    <x v="3"/>
    <s v="Online Customer"/>
    <n v="20"/>
    <n v="4999"/>
    <n v="99980"/>
    <n v="91350"/>
    <n v="11.3"/>
    <n v="0"/>
    <n v="19996"/>
    <n v="89214"/>
  </r>
  <r>
    <s v="SLD2127"/>
    <x v="10"/>
    <x v="1"/>
    <x v="1"/>
    <x v="3"/>
    <s v="Corporate Client"/>
    <n v="156"/>
    <n v="2499"/>
    <n v="389844"/>
    <n v="342836"/>
    <n v="4.9000000000000004"/>
    <n v="12"/>
    <n v="77968.800000000003"/>
    <n v="341087"/>
  </r>
  <r>
    <s v="SLD2128"/>
    <x v="1"/>
    <x v="2"/>
    <x v="2"/>
    <x v="2"/>
    <s v="Retail Store"/>
    <n v="10"/>
    <n v="499"/>
    <n v="4990"/>
    <n v="5313"/>
    <n v="2.9"/>
    <n v="0"/>
    <n v="998"/>
    <n v="5101"/>
  </r>
  <r>
    <s v="SLD2129"/>
    <x v="10"/>
    <x v="1"/>
    <x v="3"/>
    <x v="0"/>
    <s v="Retail Store"/>
    <n v="161"/>
    <n v="9999"/>
    <n v="1609839"/>
    <n v="1651633"/>
    <n v="12.8"/>
    <n v="0"/>
    <n v="321967.80000000005"/>
    <n v="1725226"/>
  </r>
  <r>
    <s v="SLD2130"/>
    <x v="10"/>
    <x v="1"/>
    <x v="4"/>
    <x v="2"/>
    <s v="Wholesale Dealer"/>
    <n v="42"/>
    <n v="9999"/>
    <n v="419958"/>
    <n v="366365"/>
    <n v="0.5"/>
    <n v="3"/>
    <n v="83991.6"/>
    <n v="451305"/>
  </r>
  <r>
    <s v="SLD2131"/>
    <x v="5"/>
    <x v="2"/>
    <x v="0"/>
    <x v="0"/>
    <s v="Retail Store"/>
    <n v="14"/>
    <n v="14999"/>
    <n v="209986"/>
    <n v="201317"/>
    <n v="3.2"/>
    <n v="0"/>
    <n v="41997.200000000004"/>
    <n v="191811"/>
  </r>
  <r>
    <s v="SLD2132"/>
    <x v="10"/>
    <x v="2"/>
    <x v="1"/>
    <x v="3"/>
    <s v="Online Customer"/>
    <n v="151"/>
    <n v="14999"/>
    <n v="2264849"/>
    <n v="2060473"/>
    <n v="12.6"/>
    <n v="12"/>
    <n v="452969.80000000005"/>
    <n v="1972261"/>
  </r>
  <r>
    <s v="SLD2133"/>
    <x v="10"/>
    <x v="2"/>
    <x v="2"/>
    <x v="0"/>
    <s v="Wholesale Dealer"/>
    <n v="127"/>
    <n v="14999"/>
    <n v="1904873"/>
    <n v="1693875"/>
    <n v="14.8"/>
    <n v="8"/>
    <n v="380974.60000000003"/>
    <n v="1999292"/>
  </r>
  <r>
    <s v="SLD2134"/>
    <x v="10"/>
    <x v="2"/>
    <x v="3"/>
    <x v="3"/>
    <s v="Wholesale Dealer"/>
    <n v="100"/>
    <n v="2499"/>
    <n v="249900"/>
    <n v="286299"/>
    <n v="5.8"/>
    <n v="8"/>
    <n v="49980"/>
    <n v="274193"/>
  </r>
  <r>
    <s v="SLD2135"/>
    <x v="10"/>
    <x v="2"/>
    <x v="4"/>
    <x v="0"/>
    <s v="Corporate Client"/>
    <n v="106"/>
    <n v="9999"/>
    <n v="1059894"/>
    <n v="1141747"/>
    <n v="13"/>
    <n v="1"/>
    <n v="211978.80000000002"/>
    <n v="990730"/>
  </r>
  <r>
    <s v="SLD2136"/>
    <x v="10"/>
    <x v="3"/>
    <x v="0"/>
    <x v="1"/>
    <s v="Wholesale Dealer"/>
    <n v="179"/>
    <n v="9999"/>
    <n v="1789821"/>
    <n v="1597226"/>
    <n v="1.8"/>
    <n v="3"/>
    <n v="357964.2"/>
    <n v="1468060"/>
  </r>
  <r>
    <s v="SLD2137"/>
    <x v="10"/>
    <x v="3"/>
    <x v="1"/>
    <x v="3"/>
    <s v="Retail Store"/>
    <n v="167"/>
    <n v="14999"/>
    <n v="2504833"/>
    <n v="2239568"/>
    <n v="9"/>
    <n v="1"/>
    <n v="500966.60000000003"/>
    <n v="2180777"/>
  </r>
  <r>
    <s v="SLD2138"/>
    <x v="10"/>
    <x v="3"/>
    <x v="2"/>
    <x v="1"/>
    <s v="Government"/>
    <n v="197"/>
    <n v="2499"/>
    <n v="492303"/>
    <n v="562036"/>
    <n v="10.4"/>
    <n v="13"/>
    <n v="98460.6"/>
    <n v="435237"/>
  </r>
  <r>
    <s v="SLD2139"/>
    <x v="10"/>
    <x v="3"/>
    <x v="3"/>
    <x v="3"/>
    <s v="Government"/>
    <n v="106"/>
    <n v="4999"/>
    <n v="529894"/>
    <n v="626530"/>
    <n v="14.2"/>
    <n v="1"/>
    <n v="105978.8"/>
    <n v="486765"/>
  </r>
  <r>
    <s v="SLD2140"/>
    <x v="10"/>
    <x v="3"/>
    <x v="4"/>
    <x v="0"/>
    <s v="Government"/>
    <n v="49"/>
    <n v="14999"/>
    <n v="734951"/>
    <n v="782146"/>
    <n v="11.1"/>
    <n v="1"/>
    <n v="146990.20000000001"/>
    <n v="721328"/>
  </r>
  <r>
    <s v="SLD2141"/>
    <x v="4"/>
    <x v="0"/>
    <x v="0"/>
    <x v="3"/>
    <s v="Online Customer"/>
    <n v="21"/>
    <n v="14999"/>
    <n v="314979"/>
    <n v="329457"/>
    <n v="6.6"/>
    <n v="0"/>
    <n v="62995.8"/>
    <n v="337925"/>
  </r>
  <r>
    <s v="SLD2142"/>
    <x v="4"/>
    <x v="0"/>
    <x v="1"/>
    <x v="2"/>
    <s v="Corporate Client"/>
    <n v="157"/>
    <n v="1499"/>
    <n v="235343"/>
    <n v="225911"/>
    <n v="11"/>
    <n v="1"/>
    <n v="47068.600000000006"/>
    <n v="199285"/>
  </r>
  <r>
    <s v="SLD2143"/>
    <x v="4"/>
    <x v="0"/>
    <x v="2"/>
    <x v="1"/>
    <s v="Retail Store"/>
    <n v="140"/>
    <n v="1499"/>
    <n v="209860"/>
    <n v="211276"/>
    <n v="14.4"/>
    <n v="4"/>
    <n v="41972"/>
    <n v="168529"/>
  </r>
  <r>
    <s v="SLD2144"/>
    <x v="10"/>
    <x v="0"/>
    <x v="3"/>
    <x v="0"/>
    <s v="Wholesale Dealer"/>
    <n v="19"/>
    <n v="499"/>
    <n v="9481"/>
    <n v="11262"/>
    <n v="12.4"/>
    <n v="1"/>
    <n v="1896.2"/>
    <n v="8213"/>
  </r>
  <r>
    <s v="SLD2145"/>
    <x v="4"/>
    <x v="0"/>
    <x v="4"/>
    <x v="3"/>
    <s v="Government"/>
    <n v="160"/>
    <n v="24999"/>
    <n v="3999840"/>
    <n v="3995816"/>
    <n v="1.6"/>
    <n v="8"/>
    <n v="799968"/>
    <n v="3695375"/>
  </r>
  <r>
    <s v="SLD2146"/>
    <x v="4"/>
    <x v="1"/>
    <x v="0"/>
    <x v="3"/>
    <s v="Retail Store"/>
    <n v="174"/>
    <n v="9999"/>
    <n v="1739826"/>
    <n v="1694521"/>
    <n v="1.3"/>
    <n v="0"/>
    <n v="347965.2"/>
    <n v="1703749"/>
  </r>
  <r>
    <s v="SLD2147"/>
    <x v="4"/>
    <x v="1"/>
    <x v="1"/>
    <x v="1"/>
    <s v="Government"/>
    <n v="95"/>
    <n v="14999"/>
    <n v="1424905"/>
    <n v="1613209"/>
    <n v="14.1"/>
    <n v="7"/>
    <n v="284981"/>
    <n v="1323447"/>
  </r>
  <r>
    <s v="SLD2148"/>
    <x v="4"/>
    <x v="1"/>
    <x v="2"/>
    <x v="0"/>
    <s v="Wholesale Dealer"/>
    <n v="88"/>
    <n v="9999"/>
    <n v="879912"/>
    <n v="959548"/>
    <n v="1.1000000000000001"/>
    <n v="3"/>
    <n v="175982.40000000002"/>
    <n v="879340"/>
  </r>
  <r>
    <s v="SLD2149"/>
    <x v="8"/>
    <x v="2"/>
    <x v="1"/>
    <x v="4"/>
    <s v="Wholesale Dealer"/>
    <n v="130"/>
    <n v="2499"/>
    <n v="324870"/>
    <n v="336645"/>
    <n v="9.4"/>
    <n v="3"/>
    <n v="64974"/>
    <n v="350356"/>
  </r>
  <r>
    <s v="SLD2150"/>
    <x v="4"/>
    <x v="1"/>
    <x v="4"/>
    <x v="3"/>
    <s v="Corporate Client"/>
    <n v="19"/>
    <n v="499"/>
    <n v="9481"/>
    <n v="8463"/>
    <n v="9.5"/>
    <n v="1"/>
    <n v="1896.2"/>
    <n v="10084"/>
  </r>
  <r>
    <s v="SLD2151"/>
    <x v="2"/>
    <x v="2"/>
    <x v="0"/>
    <x v="4"/>
    <s v="Corporate Client"/>
    <n v="200"/>
    <n v="24999"/>
    <n v="4999800"/>
    <n v="4301993"/>
    <n v="2"/>
    <n v="10"/>
    <n v="999960"/>
    <n v="5370706"/>
  </r>
  <r>
    <s v="SLD2152"/>
    <x v="4"/>
    <x v="2"/>
    <x v="1"/>
    <x v="1"/>
    <s v="Wholesale Dealer"/>
    <n v="36"/>
    <n v="999"/>
    <n v="35964"/>
    <n v="32289"/>
    <n v="5.5"/>
    <n v="1"/>
    <n v="7192.8"/>
    <n v="30310"/>
  </r>
  <r>
    <s v="SLD2153"/>
    <x v="6"/>
    <x v="1"/>
    <x v="4"/>
    <x v="2"/>
    <s v="Wholesale Dealer"/>
    <n v="140"/>
    <n v="2499"/>
    <n v="349860"/>
    <n v="326677"/>
    <n v="4.5999999999999996"/>
    <n v="7"/>
    <n v="69972"/>
    <n v="358302"/>
  </r>
  <r>
    <s v="SLD2154"/>
    <x v="4"/>
    <x v="2"/>
    <x v="3"/>
    <x v="1"/>
    <s v="Corporate Client"/>
    <n v="22"/>
    <n v="9999"/>
    <n v="219978"/>
    <n v="190057"/>
    <n v="7.1"/>
    <n v="1"/>
    <n v="43995.600000000006"/>
    <n v="235825"/>
  </r>
  <r>
    <s v="SLD2155"/>
    <x v="11"/>
    <x v="1"/>
    <x v="3"/>
    <x v="4"/>
    <s v="Wholesale Dealer"/>
    <n v="56"/>
    <n v="1499"/>
    <n v="83944"/>
    <n v="84524"/>
    <n v="2.5"/>
    <n v="4"/>
    <n v="16788.8"/>
    <n v="91370"/>
  </r>
  <r>
    <s v="SLD2156"/>
    <x v="4"/>
    <x v="3"/>
    <x v="0"/>
    <x v="3"/>
    <s v="Corporate Client"/>
    <n v="57"/>
    <n v="24999"/>
    <n v="1424943"/>
    <n v="1578535"/>
    <n v="13"/>
    <n v="4"/>
    <n v="284988.60000000003"/>
    <n v="1386112"/>
  </r>
  <r>
    <s v="SLD2157"/>
    <x v="4"/>
    <x v="3"/>
    <x v="1"/>
    <x v="2"/>
    <s v="Government"/>
    <n v="39"/>
    <n v="2499"/>
    <n v="97461"/>
    <n v="94582"/>
    <n v="2.2000000000000002"/>
    <n v="1"/>
    <n v="19492.2"/>
    <n v="79893"/>
  </r>
  <r>
    <s v="SLD2158"/>
    <x v="1"/>
    <x v="0"/>
    <x v="1"/>
    <x v="1"/>
    <s v="Wholesale Dealer"/>
    <n v="194"/>
    <n v="2499"/>
    <n v="484806"/>
    <n v="479722"/>
    <n v="15"/>
    <n v="2"/>
    <n v="96961.200000000012"/>
    <n v="392742"/>
  </r>
  <r>
    <s v="SLD2159"/>
    <x v="4"/>
    <x v="3"/>
    <x v="3"/>
    <x v="3"/>
    <s v="Online Customer"/>
    <n v="77"/>
    <n v="9999"/>
    <n v="769923"/>
    <n v="894513"/>
    <n v="7.1"/>
    <n v="6"/>
    <n v="153984.6"/>
    <n v="699508"/>
  </r>
  <r>
    <s v="SLD2160"/>
    <x v="2"/>
    <x v="1"/>
    <x v="0"/>
    <x v="1"/>
    <s v="Retail Store"/>
    <n v="31"/>
    <n v="4999"/>
    <n v="154969"/>
    <n v="156988"/>
    <n v="6.4"/>
    <n v="1"/>
    <n v="30993.800000000003"/>
    <n v="154522"/>
  </r>
  <r>
    <s v="SLD2161"/>
    <x v="0"/>
    <x v="2"/>
    <x v="0"/>
    <x v="1"/>
    <s v="Corporate Client"/>
    <n v="45"/>
    <n v="9999"/>
    <n v="449955"/>
    <n v="393273"/>
    <n v="3.9"/>
    <n v="3"/>
    <n v="89991"/>
    <n v="467055"/>
  </r>
  <r>
    <s v="SLD2162"/>
    <x v="1"/>
    <x v="0"/>
    <x v="1"/>
    <x v="0"/>
    <s v="Wholesale Dealer"/>
    <n v="172"/>
    <n v="24999"/>
    <n v="4299828"/>
    <n v="4572662"/>
    <n v="1.8"/>
    <n v="11"/>
    <n v="859965.60000000009"/>
    <n v="3609046"/>
  </r>
  <r>
    <s v="SLD2163"/>
    <x v="1"/>
    <x v="0"/>
    <x v="2"/>
    <x v="1"/>
    <s v="Retail Store"/>
    <n v="64"/>
    <n v="499"/>
    <n v="31936"/>
    <n v="29978"/>
    <n v="3.5"/>
    <n v="5"/>
    <n v="6387.2000000000007"/>
    <n v="35685"/>
  </r>
  <r>
    <s v="SLD2164"/>
    <x v="4"/>
    <x v="0"/>
    <x v="3"/>
    <x v="0"/>
    <s v="Corporate Client"/>
    <n v="66"/>
    <n v="4999"/>
    <n v="329934"/>
    <n v="387482"/>
    <n v="11.4"/>
    <n v="2"/>
    <n v="65986.8"/>
    <n v="283516"/>
  </r>
  <r>
    <s v="SLD2165"/>
    <x v="9"/>
    <x v="2"/>
    <x v="4"/>
    <x v="0"/>
    <s v="Corporate Client"/>
    <n v="143"/>
    <n v="999"/>
    <n v="142857"/>
    <n v="150682"/>
    <n v="5.9"/>
    <n v="8"/>
    <n v="28571.4"/>
    <n v="162146"/>
  </r>
  <r>
    <s v="SLD2166"/>
    <x v="10"/>
    <x v="3"/>
    <x v="4"/>
    <x v="3"/>
    <s v="Retail Store"/>
    <n v="53"/>
    <n v="14999"/>
    <n v="794947"/>
    <n v="872693"/>
    <n v="12.2"/>
    <n v="2"/>
    <n v="158989.40000000002"/>
    <n v="885849"/>
  </r>
  <r>
    <s v="SLD2167"/>
    <x v="1"/>
    <x v="1"/>
    <x v="1"/>
    <x v="1"/>
    <s v="Online Customer"/>
    <n v="66"/>
    <n v="9999"/>
    <n v="659934"/>
    <n v="584301"/>
    <n v="13.6"/>
    <n v="5"/>
    <n v="131986.80000000002"/>
    <n v="702721"/>
  </r>
  <r>
    <s v="SLD2168"/>
    <x v="3"/>
    <x v="3"/>
    <x v="0"/>
    <x v="1"/>
    <s v="Corporate Client"/>
    <n v="93"/>
    <n v="14999"/>
    <n v="1394907"/>
    <n v="1266370"/>
    <n v="8.9"/>
    <n v="3"/>
    <n v="278981.40000000002"/>
    <n v="1375676"/>
  </r>
  <r>
    <s v="SLD2169"/>
    <x v="1"/>
    <x v="1"/>
    <x v="3"/>
    <x v="0"/>
    <s v="Corporate Client"/>
    <n v="195"/>
    <n v="1499"/>
    <n v="292305"/>
    <n v="262622"/>
    <n v="10.3"/>
    <n v="5"/>
    <n v="58461"/>
    <n v="323467"/>
  </r>
  <r>
    <s v="SLD2170"/>
    <x v="1"/>
    <x v="1"/>
    <x v="4"/>
    <x v="1"/>
    <s v="Government"/>
    <n v="42"/>
    <n v="14999"/>
    <n v="629958"/>
    <n v="725940"/>
    <n v="0.2"/>
    <n v="0"/>
    <n v="125991.6"/>
    <n v="594683"/>
  </r>
  <r>
    <s v="SLD2171"/>
    <x v="6"/>
    <x v="1"/>
    <x v="2"/>
    <x v="1"/>
    <s v="Retail Store"/>
    <n v="53"/>
    <n v="24999"/>
    <n v="1324947"/>
    <n v="1174064"/>
    <n v="6.1"/>
    <n v="2"/>
    <n v="264989.40000000002"/>
    <n v="1291345"/>
  </r>
  <r>
    <s v="SLD2172"/>
    <x v="1"/>
    <x v="2"/>
    <x v="1"/>
    <x v="4"/>
    <s v="Corporate Client"/>
    <n v="40"/>
    <n v="999"/>
    <n v="39960"/>
    <n v="35032"/>
    <n v="7.6"/>
    <n v="0"/>
    <n v="7992"/>
    <n v="43374"/>
  </r>
  <r>
    <s v="SLD2173"/>
    <x v="1"/>
    <x v="2"/>
    <x v="2"/>
    <x v="0"/>
    <s v="Corporate Client"/>
    <n v="19"/>
    <n v="499"/>
    <n v="9481"/>
    <n v="10989"/>
    <n v="10.7"/>
    <n v="0"/>
    <n v="1896.2"/>
    <n v="8796"/>
  </r>
  <r>
    <s v="SLD2174"/>
    <x v="5"/>
    <x v="2"/>
    <x v="0"/>
    <x v="2"/>
    <s v="Onlne Customer"/>
    <n v="20"/>
    <n v="4999"/>
    <n v="99980"/>
    <n v="101470"/>
    <n v="0"/>
    <n v="0"/>
    <n v="19996"/>
    <n v="86492"/>
  </r>
  <r>
    <s v="SLD2175"/>
    <x v="5"/>
    <x v="3"/>
    <x v="3"/>
    <x v="2"/>
    <s v="Wholesale Dealer"/>
    <n v="89"/>
    <n v="24999"/>
    <n v="2224911"/>
    <n v="2567367"/>
    <n v="14.3"/>
    <n v="6"/>
    <n v="444982.2"/>
    <n v="2285971"/>
  </r>
  <r>
    <s v="SLD2176"/>
    <x v="1"/>
    <x v="3"/>
    <x v="4"/>
    <x v="2"/>
    <s v="Wholesale Dealer"/>
    <n v="71"/>
    <n v="999"/>
    <n v="70929"/>
    <n v="60474"/>
    <n v="4"/>
    <n v="0"/>
    <n v="14185.800000000001"/>
    <n v="62592"/>
  </r>
  <r>
    <s v="SLD2177"/>
    <x v="5"/>
    <x v="0"/>
    <x v="0"/>
    <x v="4"/>
    <s v="Retail Stor"/>
    <n v="93"/>
    <n v="499"/>
    <n v="46407"/>
    <n v="54612"/>
    <n v="5.9"/>
    <n v="5"/>
    <n v="9281.4"/>
    <n v="43540"/>
  </r>
  <r>
    <s v="SLD2178"/>
    <x v="1"/>
    <x v="3"/>
    <x v="2"/>
    <x v="3"/>
    <s v="Wholesale Dealer"/>
    <n v="184"/>
    <n v="9999"/>
    <n v="1839816"/>
    <n v="1660436"/>
    <n v="14.2"/>
    <n v="10"/>
    <n v="367963.2"/>
    <n v="1700485"/>
  </r>
  <r>
    <s v="SLD2179"/>
    <x v="10"/>
    <x v="2"/>
    <x v="2"/>
    <x v="1"/>
    <s v="Government"/>
    <n v="65"/>
    <n v="2499"/>
    <n v="162435"/>
    <n v="154210"/>
    <n v="2.6"/>
    <n v="0"/>
    <n v="32487"/>
    <n v="161268"/>
  </r>
  <r>
    <s v="SLD2180"/>
    <x v="9"/>
    <x v="0"/>
    <x v="1"/>
    <x v="2"/>
    <s v="Wholesale Dealer"/>
    <n v="189"/>
    <n v="499"/>
    <n v="94311"/>
    <n v="94341"/>
    <n v="2.1"/>
    <n v="8"/>
    <n v="18862.2"/>
    <n v="89199"/>
  </r>
  <r>
    <s v="SLD2181"/>
    <x v="8"/>
    <x v="0"/>
    <x v="0"/>
    <x v="4"/>
    <s v="Government"/>
    <n v="64"/>
    <n v="4999"/>
    <n v="319936"/>
    <n v="292383"/>
    <n v="7.6"/>
    <n v="1"/>
    <n v="63987.200000000004"/>
    <n v="318130"/>
  </r>
  <r>
    <s v="SLD2182"/>
    <x v="1"/>
    <x v="2"/>
    <x v="2"/>
    <x v="2"/>
    <s v="Retail Store"/>
    <n v="143"/>
    <n v="14999"/>
    <n v="2144857"/>
    <n v="2514955"/>
    <n v="2.6"/>
    <n v="5"/>
    <n v="428971.4"/>
    <n v="2423348"/>
  </r>
  <r>
    <s v="SLD2183"/>
    <x v="8"/>
    <x v="0"/>
    <x v="2"/>
    <x v="1"/>
    <s v="Corporate Client"/>
    <n v="50"/>
    <n v="2499"/>
    <n v="124950"/>
    <n v="138960"/>
    <n v="3.6"/>
    <n v="0"/>
    <n v="24990"/>
    <n v="100864"/>
  </r>
  <r>
    <s v="SLD2184"/>
    <x v="8"/>
    <x v="0"/>
    <x v="3"/>
    <x v="0"/>
    <s v="Online Customer"/>
    <n v="151"/>
    <n v="4999"/>
    <n v="754849"/>
    <n v="661677"/>
    <n v="6.3"/>
    <n v="10"/>
    <n v="150969.80000000002"/>
    <n v="807629"/>
  </r>
  <r>
    <s v="SLD2185"/>
    <x v="8"/>
    <x v="0"/>
    <x v="4"/>
    <x v="0"/>
    <s v="Government"/>
    <n v="78"/>
    <n v="4999"/>
    <n v="389922"/>
    <n v="450880"/>
    <n v="6.7"/>
    <n v="3"/>
    <n v="77984.400000000009"/>
    <n v="361516"/>
  </r>
  <r>
    <s v="SLD2186"/>
    <x v="9"/>
    <x v="3"/>
    <x v="4"/>
    <x v="1"/>
    <s v="Government"/>
    <n v="167"/>
    <n v="4999"/>
    <n v="834833"/>
    <n v="827838"/>
    <n v="2.4"/>
    <n v="1"/>
    <n v="166966.6"/>
    <n v="697318"/>
  </r>
  <r>
    <s v="SLD2187"/>
    <x v="8"/>
    <x v="1"/>
    <x v="1"/>
    <x v="0"/>
    <s v="Retail Store"/>
    <n v="101"/>
    <n v="24999"/>
    <n v="2524899"/>
    <n v="2616738"/>
    <n v="11.3"/>
    <n v="1"/>
    <n v="504979.80000000005"/>
    <n v="2362389"/>
  </r>
  <r>
    <s v="SLD2188"/>
    <x v="8"/>
    <x v="1"/>
    <x v="2"/>
    <x v="0"/>
    <s v="Government"/>
    <n v="53"/>
    <n v="24999"/>
    <n v="1324947"/>
    <n v="1439776"/>
    <n v="14.4"/>
    <n v="3"/>
    <n v="264989.40000000002"/>
    <n v="1448414"/>
  </r>
  <r>
    <s v="SLD2189"/>
    <x v="8"/>
    <x v="1"/>
    <x v="3"/>
    <x v="0"/>
    <s v="Wholesale Dealer"/>
    <n v="32"/>
    <n v="4999"/>
    <n v="159968"/>
    <n v="169040"/>
    <n v="0.2"/>
    <n v="1"/>
    <n v="31993.600000000002"/>
    <n v="155846"/>
  </r>
  <r>
    <s v="SLD2190"/>
    <x v="8"/>
    <x v="1"/>
    <x v="4"/>
    <x v="4"/>
    <s v="Corporate Client"/>
    <n v="100"/>
    <n v="2499"/>
    <n v="249900"/>
    <n v="238235"/>
    <n v="2.5"/>
    <n v="3"/>
    <n v="49980"/>
    <n v="214907"/>
  </r>
  <r>
    <s v="SLD2191"/>
    <x v="8"/>
    <x v="2"/>
    <x v="0"/>
    <x v="2"/>
    <s v="Wholesale Dealer"/>
    <n v="97"/>
    <n v="9999"/>
    <n v="969903"/>
    <n v="979306"/>
    <n v="8.1999999999999993"/>
    <n v="1"/>
    <n v="193980.6"/>
    <n v="800584"/>
  </r>
  <r>
    <s v="SLD2192"/>
    <x v="8"/>
    <x v="2"/>
    <x v="1"/>
    <x v="0"/>
    <s v="Government"/>
    <n v="195"/>
    <n v="999"/>
    <n v="194805"/>
    <n v="188735"/>
    <n v="1.3"/>
    <n v="11"/>
    <n v="38961"/>
    <n v="173480"/>
  </r>
  <r>
    <s v="SLD2193"/>
    <x v="6"/>
    <x v="3"/>
    <x v="2"/>
    <x v="1"/>
    <s v="Online Customer"/>
    <n v="163"/>
    <n v="4999"/>
    <n v="814837"/>
    <n v="856990"/>
    <n v="1.9"/>
    <n v="9"/>
    <n v="162967.40000000002"/>
    <n v="901214"/>
  </r>
  <r>
    <s v="SLD2194"/>
    <x v="9"/>
    <x v="0"/>
    <x v="4"/>
    <x v="2"/>
    <s v="Online Customer"/>
    <n v="34"/>
    <n v="4999"/>
    <n v="169966"/>
    <n v="201362"/>
    <n v="2"/>
    <n v="0"/>
    <n v="33993.200000000004"/>
    <n v="170270"/>
  </r>
  <r>
    <s v="SLD2195"/>
    <x v="5"/>
    <x v="3"/>
    <x v="3"/>
    <x v="1"/>
    <s v="Wholesale"/>
    <n v="147"/>
    <n v="9999"/>
    <n v="1469853"/>
    <n v="1417076"/>
    <n v="12.5"/>
    <n v="4"/>
    <n v="293970.60000000003"/>
    <n v="1677462"/>
  </r>
  <r>
    <s v="SLD2196"/>
    <x v="8"/>
    <x v="3"/>
    <x v="0"/>
    <x v="0"/>
    <s v="Online Customer"/>
    <n v="23"/>
    <n v="999"/>
    <n v="22977"/>
    <n v="21224"/>
    <n v="1.9"/>
    <n v="1"/>
    <n v="4595.4000000000005"/>
    <n v="19479"/>
  </r>
  <r>
    <s v="SLD2197"/>
    <x v="10"/>
    <x v="3"/>
    <x v="1"/>
    <x v="2"/>
    <s v="Government"/>
    <n v="154"/>
    <n v="24999"/>
    <n v="3849846"/>
    <n v="3660669"/>
    <n v="8.6999999999999993"/>
    <n v="7"/>
    <n v="769969.20000000007"/>
    <n v="3517034"/>
  </r>
  <r>
    <s v="SLD2198"/>
    <x v="0"/>
    <x v="1"/>
    <x v="1"/>
    <x v="3"/>
    <s v="Online Customer"/>
    <n v="188"/>
    <n v="499"/>
    <n v="93812"/>
    <n v="89079"/>
    <n v="10.9"/>
    <n v="9"/>
    <n v="18762.400000000001"/>
    <n v="78811"/>
  </r>
  <r>
    <s v="SLD2199"/>
    <x v="8"/>
    <x v="3"/>
    <x v="3"/>
    <x v="4"/>
    <s v="Wholesale Dealer"/>
    <n v="195"/>
    <n v="1499"/>
    <n v="292305"/>
    <n v="304939"/>
    <n v="11.1"/>
    <n v="14"/>
    <n v="58461"/>
    <n v="297639"/>
  </r>
  <r>
    <s v="SLD2200"/>
    <x v="8"/>
    <x v="3"/>
    <x v="4"/>
    <x v="4"/>
    <s v="Wholesale Dealer"/>
    <n v="79"/>
    <n v="24999"/>
    <n v="1974921"/>
    <n v="2030561"/>
    <n v="12.3"/>
    <n v="6"/>
    <n v="394984.2"/>
    <n v="2138590"/>
  </r>
  <r>
    <s v="SLD2201"/>
    <x v="11"/>
    <x v="0"/>
    <x v="0"/>
    <x v="2"/>
    <s v="Wholesale Dealer"/>
    <n v="200"/>
    <n v="499"/>
    <n v="99800"/>
    <n v="118380"/>
    <n v="14.7"/>
    <n v="14"/>
    <n v="19960"/>
    <n v="87079"/>
  </r>
  <r>
    <s v="SLD2202"/>
    <x v="11"/>
    <x v="0"/>
    <x v="1"/>
    <x v="4"/>
    <s v="Wholesale Dealer"/>
    <n v="83"/>
    <n v="4999"/>
    <n v="414917"/>
    <n v="472309"/>
    <n v="4.0999999999999996"/>
    <n v="3"/>
    <n v="82983.400000000009"/>
    <n v="343480"/>
  </r>
  <r>
    <s v="SLD2203"/>
    <x v="11"/>
    <x v="0"/>
    <x v="2"/>
    <x v="3"/>
    <s v="Online Customer"/>
    <n v="178"/>
    <n v="9999"/>
    <n v="1779822"/>
    <n v="2026766"/>
    <n v="10.9"/>
    <n v="2"/>
    <n v="355964.4"/>
    <n v="1778613"/>
  </r>
  <r>
    <s v="SLD2204"/>
    <x v="11"/>
    <x v="0"/>
    <x v="3"/>
    <x v="1"/>
    <s v="Retail Store"/>
    <n v="99"/>
    <n v="9999"/>
    <n v="989901"/>
    <n v="1083286"/>
    <n v="8.1999999999999993"/>
    <n v="5"/>
    <n v="197980.2"/>
    <n v="859286"/>
  </r>
  <r>
    <s v="SLD2205"/>
    <x v="4"/>
    <x v="3"/>
    <x v="1"/>
    <x v="1"/>
    <s v="Government"/>
    <n v="108"/>
    <n v="999"/>
    <n v="107892"/>
    <n v="111814"/>
    <n v="14.3"/>
    <n v="3"/>
    <n v="21578.400000000001"/>
    <n v="121548"/>
  </r>
  <r>
    <s v="SLD2206"/>
    <x v="9"/>
    <x v="0"/>
    <x v="1"/>
    <x v="2"/>
    <s v="Online Customer"/>
    <n v="162"/>
    <n v="999"/>
    <n v="161838"/>
    <n v="178964"/>
    <n v="0.3"/>
    <n v="4"/>
    <n v="32367.600000000002"/>
    <n v="163989"/>
  </r>
  <r>
    <s v="SLD2207"/>
    <x v="11"/>
    <x v="1"/>
    <x v="1"/>
    <x v="2"/>
    <s v="Retail Store"/>
    <n v="42"/>
    <n v="4999"/>
    <n v="209958"/>
    <n v="194000"/>
    <n v="5.3"/>
    <n v="3"/>
    <n v="41991.600000000006"/>
    <n v="234503"/>
  </r>
  <r>
    <s v="SLD2208"/>
    <x v="11"/>
    <x v="1"/>
    <x v="2"/>
    <x v="4"/>
    <s v="Retail Store"/>
    <n v="80"/>
    <n v="14999"/>
    <n v="1199920"/>
    <n v="1412090"/>
    <n v="12"/>
    <n v="2"/>
    <n v="239984"/>
    <n v="1314413"/>
  </r>
  <r>
    <s v="SLD2209"/>
    <x v="3"/>
    <x v="2"/>
    <x v="2"/>
    <x v="3"/>
    <s v="Wholesale Dealer"/>
    <n v="40"/>
    <n v="4999"/>
    <n v="199960"/>
    <n v="188105"/>
    <n v="5.3"/>
    <n v="1"/>
    <n v="39992"/>
    <n v="215012"/>
  </r>
  <r>
    <s v="SLD2210"/>
    <x v="11"/>
    <x v="1"/>
    <x v="4"/>
    <x v="0"/>
    <s v="Government"/>
    <n v="79"/>
    <n v="499"/>
    <n v="39421"/>
    <n v="42473"/>
    <n v="4.7"/>
    <n v="4"/>
    <n v="7884.2000000000007"/>
    <n v="32027"/>
  </r>
  <r>
    <s v="SLD2211"/>
    <x v="11"/>
    <x v="2"/>
    <x v="0"/>
    <x v="1"/>
    <s v="Wholesale Dealer"/>
    <n v="83"/>
    <n v="1499"/>
    <n v="124417"/>
    <n v="114107"/>
    <n v="9.1"/>
    <n v="0"/>
    <n v="24883.4"/>
    <n v="120644"/>
  </r>
  <r>
    <s v="SLD2212"/>
    <x v="0"/>
    <x v="1"/>
    <x v="1"/>
    <x v="4"/>
    <s v="Retail Stor"/>
    <n v="128"/>
    <n v="4999"/>
    <n v="639872"/>
    <n v="567147"/>
    <n v="6.5"/>
    <n v="6"/>
    <n v="127974.40000000001"/>
    <n v="549386"/>
  </r>
  <r>
    <s v="SLD2213"/>
    <x v="11"/>
    <x v="2"/>
    <x v="2"/>
    <x v="2"/>
    <s v="Retail Store"/>
    <n v="103"/>
    <n v="2499"/>
    <n v="257397"/>
    <n v="247835"/>
    <n v="5.0999999999999996"/>
    <n v="0"/>
    <n v="51479.4"/>
    <n v="244528"/>
  </r>
  <r>
    <s v="SLD2214"/>
    <x v="0"/>
    <x v="3"/>
    <x v="1"/>
    <x v="2"/>
    <s v="Onlne Customer"/>
    <n v="80"/>
    <n v="9999"/>
    <n v="799920"/>
    <n v="915337"/>
    <n v="13.1"/>
    <n v="6"/>
    <n v="159984"/>
    <n v="645644"/>
  </r>
  <r>
    <s v="SLD2215"/>
    <x v="11"/>
    <x v="2"/>
    <x v="4"/>
    <x v="2"/>
    <s v="Retail Store"/>
    <n v="169"/>
    <n v="2499"/>
    <n v="422331"/>
    <n v="410024"/>
    <n v="3.8"/>
    <n v="6"/>
    <n v="84466.200000000012"/>
    <n v="423500"/>
  </r>
  <r>
    <s v="SLD2216"/>
    <x v="11"/>
    <x v="3"/>
    <x v="0"/>
    <x v="0"/>
    <s v="Online Customer"/>
    <n v="171"/>
    <n v="1499"/>
    <n v="256329"/>
    <n v="284651"/>
    <n v="5.8"/>
    <n v="12"/>
    <n v="51265.8"/>
    <n v="249331"/>
  </r>
  <r>
    <s v="SLD2217"/>
    <x v="11"/>
    <x v="1"/>
    <x v="2"/>
    <x v="1"/>
    <s v="Wholesale Dealer"/>
    <n v="14"/>
    <n v="4999"/>
    <n v="69986"/>
    <n v="77408"/>
    <n v="10.3"/>
    <n v="0"/>
    <n v="13997.2"/>
    <n v="76708"/>
  </r>
  <r>
    <s v="SLD2218"/>
    <x v="11"/>
    <x v="3"/>
    <x v="2"/>
    <x v="1"/>
    <s v="Online Customer"/>
    <n v="102"/>
    <n v="9999"/>
    <n v="1019898"/>
    <n v="1209888"/>
    <n v="2.7"/>
    <n v="4"/>
    <n v="203979.6"/>
    <n v="878231"/>
  </r>
  <r>
    <s v="SLD2219"/>
    <x v="0"/>
    <x v="1"/>
    <x v="0"/>
    <x v="3"/>
    <s v="Wholesale"/>
    <n v="122"/>
    <n v="1499"/>
    <n v="182878"/>
    <n v="161463"/>
    <n v="1.5"/>
    <n v="0"/>
    <n v="36575.599999999999"/>
    <n v="161196"/>
  </r>
  <r>
    <s v="SLD2220"/>
    <x v="11"/>
    <x v="3"/>
    <x v="4"/>
    <x v="4"/>
    <s v="Online Customer"/>
    <n v="29"/>
    <n v="9999"/>
    <n v="289971"/>
    <n v="301243"/>
    <n v="6.5"/>
    <n v="1"/>
    <n v="57994.200000000004"/>
    <n v="241912"/>
  </r>
  <r>
    <s v="SLD2221"/>
    <x v="7"/>
    <x v="0"/>
    <x v="0"/>
    <x v="0"/>
    <s v="Corporate Client"/>
    <n v="127"/>
    <n v="9999"/>
    <n v="1269873"/>
    <n v="1448368"/>
    <n v="10.5"/>
    <n v="9"/>
    <n v="253974.6"/>
    <n v="1016497"/>
  </r>
  <r>
    <s v="SLD2222"/>
    <x v="7"/>
    <x v="0"/>
    <x v="1"/>
    <x v="1"/>
    <s v="Corporate Client"/>
    <n v="32"/>
    <n v="9999"/>
    <n v="319968"/>
    <n v="333179"/>
    <n v="13.8"/>
    <n v="2"/>
    <n v="63993.600000000006"/>
    <n v="288498"/>
  </r>
  <r>
    <s v="SLD2223"/>
    <x v="7"/>
    <x v="0"/>
    <x v="2"/>
    <x v="3"/>
    <s v="Corporate Client"/>
    <n v="105"/>
    <n v="24999"/>
    <n v="2624895"/>
    <n v="2379736"/>
    <n v="5.5"/>
    <n v="1"/>
    <n v="524979"/>
    <n v="2818813"/>
  </r>
  <r>
    <s v="SLD2224"/>
    <x v="7"/>
    <x v="0"/>
    <x v="3"/>
    <x v="1"/>
    <s v="Corporate Client"/>
    <n v="144"/>
    <n v="999"/>
    <n v="143856"/>
    <n v="154524"/>
    <n v="4.5999999999999996"/>
    <n v="10"/>
    <n v="28771.200000000001"/>
    <n v="162637"/>
  </r>
  <r>
    <s v="SLD2225"/>
    <x v="7"/>
    <x v="0"/>
    <x v="4"/>
    <x v="1"/>
    <s v="Online Customer"/>
    <n v="56"/>
    <n v="9999"/>
    <n v="559944"/>
    <n v="570197"/>
    <n v="15"/>
    <n v="2"/>
    <n v="111988.8"/>
    <n v="457272"/>
  </r>
  <r>
    <s v="SLD2226"/>
    <x v="7"/>
    <x v="1"/>
    <x v="0"/>
    <x v="0"/>
    <s v="Corporate Client"/>
    <n v="49"/>
    <n v="1499"/>
    <n v="73451"/>
    <n v="77812"/>
    <n v="0"/>
    <n v="3"/>
    <n v="14690.2"/>
    <n v="72008"/>
  </r>
  <r>
    <s v="SLD2227"/>
    <x v="7"/>
    <x v="1"/>
    <x v="1"/>
    <x v="1"/>
    <s v="Retail Store"/>
    <n v="88"/>
    <n v="9999"/>
    <n v="879912"/>
    <n v="787781"/>
    <n v="2.2000000000000002"/>
    <n v="0"/>
    <n v="175982.40000000002"/>
    <n v="899446"/>
  </r>
  <r>
    <s v="SLD2228"/>
    <x v="7"/>
    <x v="1"/>
    <x v="2"/>
    <x v="1"/>
    <s v="Corporate Client"/>
    <n v="127"/>
    <n v="24999"/>
    <n v="3174873"/>
    <n v="3054002"/>
    <n v="3.9"/>
    <n v="7"/>
    <n v="634974.60000000009"/>
    <n v="3631500"/>
  </r>
  <r>
    <s v="SLD2229"/>
    <x v="7"/>
    <x v="1"/>
    <x v="3"/>
    <x v="4"/>
    <s v="Government"/>
    <n v="116"/>
    <n v="499"/>
    <n v="57884"/>
    <n v="52377"/>
    <n v="14.7"/>
    <n v="1"/>
    <n v="11576.800000000001"/>
    <n v="48085"/>
  </r>
  <r>
    <s v="SLD2230"/>
    <x v="7"/>
    <x v="1"/>
    <x v="4"/>
    <x v="0"/>
    <s v="Online Customer"/>
    <n v="26"/>
    <n v="24999"/>
    <n v="649974"/>
    <n v="609647"/>
    <n v="3.6"/>
    <n v="2"/>
    <n v="129994.8"/>
    <n v="684392"/>
  </r>
  <r>
    <s v="SLD2231"/>
    <x v="7"/>
    <x v="2"/>
    <x v="0"/>
    <x v="1"/>
    <s v="Retail Store"/>
    <n v="17"/>
    <n v="1499"/>
    <n v="25483"/>
    <n v="27782"/>
    <n v="4.9000000000000004"/>
    <n v="1"/>
    <n v="5096.6000000000004"/>
    <n v="22667"/>
  </r>
  <r>
    <s v="SLD2232"/>
    <x v="5"/>
    <x v="2"/>
    <x v="1"/>
    <x v="3"/>
    <s v="Corporate Client"/>
    <n v="160"/>
    <n v="14999"/>
    <n v="2399840"/>
    <n v="2388452"/>
    <n v="14.9"/>
    <n v="2"/>
    <n v="479968"/>
    <n v="2603363"/>
  </r>
  <r>
    <s v="SLD2233"/>
    <x v="0"/>
    <x v="2"/>
    <x v="2"/>
    <x v="4"/>
    <s v="Online Customer"/>
    <n v="88"/>
    <n v="14999"/>
    <n v="1319912"/>
    <n v="1134641"/>
    <n v="7.4"/>
    <n v="0"/>
    <n v="263982.40000000002"/>
    <n v="1257099"/>
  </r>
  <r>
    <s v="SLD2234"/>
    <x v="7"/>
    <x v="3"/>
    <x v="1"/>
    <x v="0"/>
    <s v="Corporate Client"/>
    <n v="23"/>
    <n v="9999"/>
    <n v="229977"/>
    <n v="236574"/>
    <n v="1"/>
    <n v="0"/>
    <n v="45995.4"/>
    <n v="252886"/>
  </r>
  <r>
    <s v="SLD2235"/>
    <x v="0"/>
    <x v="1"/>
    <x v="4"/>
    <x v="0"/>
    <s v="Retail Store"/>
    <n v="78"/>
    <n v="2499"/>
    <n v="194922"/>
    <n v="179833"/>
    <n v="12.1"/>
    <n v="3"/>
    <n v="38984.400000000001"/>
    <n v="162457"/>
  </r>
  <r>
    <s v="SLD2236"/>
    <x v="5"/>
    <x v="0"/>
    <x v="4"/>
    <x v="4"/>
    <s v="Retail Store"/>
    <n v="33"/>
    <n v="499"/>
    <n v="16467"/>
    <n v="15962"/>
    <n v="1.8"/>
    <n v="0"/>
    <n v="3293.4"/>
    <n v="13437"/>
  </r>
  <r>
    <s v="SLD2237"/>
    <x v="7"/>
    <x v="3"/>
    <x v="1"/>
    <x v="0"/>
    <s v="Corporate Client"/>
    <n v="194"/>
    <n v="4999"/>
    <n v="969806"/>
    <n v="905396"/>
    <n v="14.7"/>
    <n v="9"/>
    <n v="193961.2"/>
    <n v="857712"/>
  </r>
  <r>
    <s v="SLD2238"/>
    <x v="7"/>
    <x v="3"/>
    <x v="2"/>
    <x v="3"/>
    <s v="Retail Store"/>
    <n v="187"/>
    <n v="4999"/>
    <n v="934813"/>
    <n v="965627"/>
    <n v="0"/>
    <n v="9"/>
    <n v="186962.6"/>
    <n v="953674"/>
  </r>
  <r>
    <s v="SLD2239"/>
    <x v="7"/>
    <x v="3"/>
    <x v="3"/>
    <x v="1"/>
    <s v="Retail Store"/>
    <n v="99"/>
    <n v="9999"/>
    <n v="989901"/>
    <n v="1107404"/>
    <n v="0"/>
    <n v="1"/>
    <n v="197980.2"/>
    <n v="1077677"/>
  </r>
  <r>
    <s v="SLD2240"/>
    <x v="0"/>
    <x v="3"/>
    <x v="3"/>
    <x v="4"/>
    <s v="Online Customer"/>
    <n v="133"/>
    <n v="1499"/>
    <m/>
    <n v="238431"/>
    <n v="13.3"/>
    <n v="8"/>
    <n v="0"/>
    <n v="165952"/>
  </r>
  <r>
    <m/>
    <x v="12"/>
    <x v="4"/>
    <x v="5"/>
    <x v="5"/>
    <m/>
    <m/>
    <m/>
    <s v="Total Revenue"/>
    <s v="Total Sales Target"/>
    <m/>
    <s v="Total Returns"/>
    <e v="#VALUE!"/>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DB26DF-D63E-444F-9F9B-AD6D9AED0F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2" firstHeaderRow="1" firstDataRow="1" firstDataCol="1"/>
  <pivotFields count="14">
    <pivotField showAll="0"/>
    <pivotField showAll="0">
      <items count="14">
        <item x="0"/>
        <item x="6"/>
        <item x="5"/>
        <item x="3"/>
        <item x="9"/>
        <item x="2"/>
        <item x="10"/>
        <item x="4"/>
        <item x="1"/>
        <item x="8"/>
        <item x="11"/>
        <item x="7"/>
        <item x="12"/>
        <item t="default"/>
      </items>
    </pivotField>
    <pivotField axis="axisRow" showAll="0">
      <items count="6">
        <item x="2"/>
        <item x="0"/>
        <item x="1"/>
        <item x="3"/>
        <item h="1" x="4"/>
        <item t="default"/>
      </items>
    </pivotField>
    <pivotField showAll="0">
      <items count="7">
        <item x="1"/>
        <item x="0"/>
        <item x="2"/>
        <item x="3"/>
        <item x="4"/>
        <item x="5"/>
        <item t="default"/>
      </items>
    </pivotField>
    <pivotField showAll="0">
      <items count="12">
        <item m="1" x="10"/>
        <item x="4"/>
        <item m="1" x="9"/>
        <item x="3"/>
        <item m="1" x="6"/>
        <item x="1"/>
        <item m="1" x="7"/>
        <item x="0"/>
        <item m="1" x="8"/>
        <item x="2"/>
        <item x="5"/>
        <item t="default"/>
      </items>
    </pivotField>
    <pivotField showAll="0"/>
    <pivotField showAll="0"/>
    <pivotField showAll="0"/>
    <pivotField dataField="1"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Total_Sales_INR" fld="8" baseField="1" baseItem="0"/>
  </dataFields>
  <chartFormats count="12">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EF3025-6ED2-4EEC-A9F4-F185E5C991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C26" firstHeaderRow="0" firstDataRow="1" firstDataCol="1"/>
  <pivotFields count="14">
    <pivotField showAll="0"/>
    <pivotField showAll="0">
      <items count="14">
        <item x="0"/>
        <item x="6"/>
        <item x="5"/>
        <item x="3"/>
        <item x="9"/>
        <item x="2"/>
        <item x="10"/>
        <item x="4"/>
        <item x="1"/>
        <item x="8"/>
        <item x="11"/>
        <item x="7"/>
        <item x="12"/>
        <item t="default"/>
      </items>
    </pivotField>
    <pivotField showAll="0">
      <items count="6">
        <item x="2"/>
        <item x="0"/>
        <item x="1"/>
        <item x="3"/>
        <item h="1" x="4"/>
        <item t="default"/>
      </items>
    </pivotField>
    <pivotField showAll="0">
      <items count="7">
        <item x="1"/>
        <item x="0"/>
        <item x="2"/>
        <item x="3"/>
        <item x="4"/>
        <item x="5"/>
        <item t="default"/>
      </items>
    </pivotField>
    <pivotField axis="axisRow" showAll="0">
      <items count="12">
        <item m="1" x="10"/>
        <item x="4"/>
        <item m="1" x="9"/>
        <item x="3"/>
        <item m="1" x="6"/>
        <item x="1"/>
        <item m="1" x="7"/>
        <item x="0"/>
        <item m="1" x="8"/>
        <item x="2"/>
        <item x="5"/>
        <item t="default"/>
      </items>
    </pivotField>
    <pivotField showAll="0"/>
    <pivotField showAll="0"/>
    <pivotField showAll="0"/>
    <pivotField dataField="1" showAll="0"/>
    <pivotField showAll="0"/>
    <pivotField showAll="0"/>
    <pivotField showAll="0"/>
    <pivotField dataField="1" showAll="0"/>
    <pivotField showAll="0"/>
  </pivotFields>
  <rowFields count="1">
    <field x="4"/>
  </rowFields>
  <rowItems count="6">
    <i>
      <x v="1"/>
    </i>
    <i>
      <x v="3"/>
    </i>
    <i>
      <x v="5"/>
    </i>
    <i>
      <x v="7"/>
    </i>
    <i>
      <x v="9"/>
    </i>
    <i t="grand">
      <x/>
    </i>
  </rowItems>
  <colFields count="1">
    <field x="-2"/>
  </colFields>
  <colItems count="2">
    <i>
      <x/>
    </i>
    <i i="1">
      <x v="1"/>
    </i>
  </colItems>
  <dataFields count="2">
    <dataField name="Sum of Total_Sales_INR" fld="8" baseField="1" baseItem="0"/>
    <dataField name="Sum of Profit_INR" fld="12" baseField="4"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761D9F-4BD9-4082-B383-E66AAB3238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14">
    <pivotField showAll="0"/>
    <pivotField axis="axisRow" showAll="0">
      <items count="14">
        <item x="0"/>
        <item x="6"/>
        <item x="5"/>
        <item x="3"/>
        <item x="9"/>
        <item x="2"/>
        <item x="10"/>
        <item x="4"/>
        <item x="1"/>
        <item x="8"/>
        <item x="11"/>
        <item x="7"/>
        <item x="12"/>
        <item t="default"/>
      </items>
    </pivotField>
    <pivotField showAll="0">
      <items count="6">
        <item x="2"/>
        <item x="0"/>
        <item x="1"/>
        <item x="3"/>
        <item h="1" x="4"/>
        <item t="default"/>
      </items>
    </pivotField>
    <pivotField showAll="0">
      <items count="7">
        <item x="1"/>
        <item x="0"/>
        <item x="2"/>
        <item x="3"/>
        <item x="4"/>
        <item x="5"/>
        <item t="default"/>
      </items>
    </pivotField>
    <pivotField showAll="0">
      <items count="12">
        <item m="1" x="10"/>
        <item x="4"/>
        <item m="1" x="9"/>
        <item x="3"/>
        <item m="1" x="6"/>
        <item x="1"/>
        <item m="1" x="7"/>
        <item x="0"/>
        <item m="1" x="8"/>
        <item x="2"/>
        <item x="5"/>
        <item t="default"/>
      </items>
    </pivotField>
    <pivotField showAll="0"/>
    <pivotField showAll="0"/>
    <pivotField showAll="0"/>
    <pivotField dataField="1" showAll="0"/>
    <pivotField dataField="1"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Sales_INR" fld="8" baseField="1" baseItem="0"/>
    <dataField name="Sum of Sales_Target_INR" fld="9" baseField="1" baseItem="8"/>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D4ED4E-BBEF-419B-ABD1-64D4D1833E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8:C54" firstHeaderRow="0" firstDataRow="1" firstDataCol="1"/>
  <pivotFields count="14">
    <pivotField showAll="0"/>
    <pivotField showAll="0">
      <items count="14">
        <item x="0"/>
        <item x="6"/>
        <item x="5"/>
        <item x="3"/>
        <item x="9"/>
        <item x="2"/>
        <item x="10"/>
        <item x="4"/>
        <item x="1"/>
        <item x="8"/>
        <item x="11"/>
        <item x="7"/>
        <item x="12"/>
        <item t="default"/>
      </items>
    </pivotField>
    <pivotField showAll="0">
      <items count="6">
        <item x="2"/>
        <item x="0"/>
        <item x="1"/>
        <item x="3"/>
        <item h="1" x="4"/>
        <item t="default"/>
      </items>
    </pivotField>
    <pivotField axis="axisRow" showAll="0">
      <items count="7">
        <item x="1"/>
        <item x="0"/>
        <item x="2"/>
        <item x="3"/>
        <item x="4"/>
        <item x="5"/>
        <item t="default"/>
      </items>
    </pivotField>
    <pivotField showAll="0">
      <items count="12">
        <item m="1" x="10"/>
        <item x="4"/>
        <item m="1" x="9"/>
        <item x="3"/>
        <item m="1" x="6"/>
        <item x="1"/>
        <item m="1" x="7"/>
        <item x="0"/>
        <item m="1" x="8"/>
        <item x="2"/>
        <item x="5"/>
        <item t="default"/>
      </items>
    </pivotField>
    <pivotField showAll="0"/>
    <pivotField showAll="0"/>
    <pivotField showAll="0"/>
    <pivotField dataField="1" showAll="0"/>
    <pivotField showAll="0"/>
    <pivotField showAll="0"/>
    <pivotField dataField="1"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Sum of Total_Sales_INR" fld="8" baseField="1" baseItem="0"/>
    <dataField name="Sum of Returns" fld="11" baseField="3"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6FA4B59-C89A-4DD4-A5FE-CD2F6C15B9F6}" sourceName="Month">
  <pivotTables>
    <pivotTable tabId="7" name="PivotTable1"/>
    <pivotTable tabId="7" name="PivotTable2"/>
    <pivotTable tabId="7" name="PivotTable3"/>
    <pivotTable tabId="7" name="PivotTable4"/>
  </pivotTables>
  <data>
    <tabular pivotCacheId="1280205764">
      <items count="13">
        <i x="0" s="1"/>
        <i x="6" s="1"/>
        <i x="5" s="1"/>
        <i x="3" s="1"/>
        <i x="9" s="1"/>
        <i x="2" s="1"/>
        <i x="10" s="1"/>
        <i x="4" s="1"/>
        <i x="1" s="1"/>
        <i x="8" s="1"/>
        <i x="11" s="1"/>
        <i x="7"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2868EC-A6EE-46A7-916C-537CA31F2314}" sourceName="Region">
  <pivotTables>
    <pivotTable tabId="7" name="PivotTable1"/>
    <pivotTable tabId="7" name="PivotTable2"/>
    <pivotTable tabId="7" name="PivotTable3"/>
    <pivotTable tabId="7" name="PivotTable4"/>
  </pivotTables>
  <data>
    <tabular pivotCacheId="1280205764">
      <items count="5">
        <i x="2" s="1"/>
        <i x="0" s="1"/>
        <i x="1" s="1"/>
        <i x="3" s="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355919-60FB-4225-8E7E-BF08C283F13E}" sourceName="Category">
  <pivotTables>
    <pivotTable tabId="7" name="PivotTable1"/>
    <pivotTable tabId="7" name="PivotTable2"/>
    <pivotTable tabId="7" name="PivotTable3"/>
    <pivotTable tabId="7" name="PivotTable4"/>
  </pivotTables>
  <data>
    <tabular pivotCacheId="1280205764">
      <items count="6">
        <i x="1" s="1"/>
        <i x="0" s="1"/>
        <i x="2" s="1"/>
        <i x="3"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F2AA911-D16B-4BE1-8DDB-D0DCA5451FA3}" sourceName="Salesperson">
  <pivotTables>
    <pivotTable tabId="7" name="PivotTable1"/>
    <pivotTable tabId="7" name="PivotTable2"/>
    <pivotTable tabId="7" name="PivotTable3"/>
    <pivotTable tabId="7" name="PivotTable4"/>
  </pivotTables>
  <data>
    <tabular pivotCacheId="1280205764">
      <items count="11">
        <i x="4" s="1"/>
        <i x="3" s="1"/>
        <i x="1" s="1"/>
        <i x="0" s="1"/>
        <i x="2" s="1"/>
        <i x="10" s="1" nd="1"/>
        <i x="9" s="1" nd="1"/>
        <i x="6" s="1" nd="1"/>
        <i x="7" s="1" nd="1"/>
        <i x="8"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BF69182-4F88-4A95-A67D-84275B197DA5}" cache="Slicer_Month" caption="Month" rowHeight="234950"/>
  <slicer name="Region" xr10:uid="{E8349CA2-A6AA-450B-9BFB-8459ED2CA244}" cache="Slicer_Region" caption="Region" rowHeight="234950"/>
  <slicer name="Category" xr10:uid="{24BDE226-69C9-4547-AFB0-ADB8B2E3959D}" cache="Slicer_Category" caption="Category" rowHeight="234950"/>
  <slicer name="Salesperson" xr10:uid="{EFF876C7-BCFB-4FE0-B0B3-BD285FF26BB6}" cache="Slicer_Salesperson" caption="Salesper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FF813C2-EC17-4E2C-A5B5-51FD7F42D270}" cache="Slicer_Month" caption="Month" rowHeight="234950"/>
  <slicer name="Region 1" xr10:uid="{AF8FC476-0964-4B36-A301-6F25C8A5CFAF}" cache="Slicer_Region" caption="Region" rowHeight="234950"/>
  <slicer name="Category 1" xr10:uid="{B523C0B6-AD36-4BCA-B5CC-5CB900913AAB}" cache="Slicer_Category" caption="Category" rowHeight="234950"/>
  <slicer name="Salesperson 1" xr10:uid="{6E5276A5-C617-4AEC-A7FB-E4289676D05B}"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984F93-549B-42BA-B5A9-3AC7FA96272B}" name="Table4" displayName="Table4" ref="A1:N242" totalsRowShown="0" headerRowDxfId="16" dataDxfId="14" headerRowBorderDxfId="15">
  <autoFilter ref="A1:N242" xr:uid="{45984F93-549B-42BA-B5A9-3AC7FA96272B}">
    <filterColumn colId="4">
      <customFilters>
        <customFilter operator="notEqual" val=" "/>
      </customFilters>
    </filterColumn>
  </autoFilter>
  <tableColumns count="14">
    <tableColumn id="1" xr3:uid="{AAFE6BAC-4F06-4F9E-AE5D-FDECB824E64F}" name="Order_ID" dataDxfId="13"/>
    <tableColumn id="2" xr3:uid="{82F27312-48FA-4E03-A00E-328A3163DBFC}" name="Month" dataDxfId="12"/>
    <tableColumn id="3" xr3:uid="{4BFCAF99-D387-4C29-B409-6EABFDA74CF8}" name="Region" dataDxfId="11"/>
    <tableColumn id="4" xr3:uid="{960A5DB7-D42C-4041-82EE-C7AE8B533C11}" name="Category" dataDxfId="10"/>
    <tableColumn id="5" xr3:uid="{1F346662-3431-425D-AC44-D312162B1AC4}" name="Salesperson" dataDxfId="9"/>
    <tableColumn id="6" xr3:uid="{AD2B74E4-A5B7-4422-AA88-8E5394278281}" name="Customer_Type" dataDxfId="8"/>
    <tableColumn id="7" xr3:uid="{AE551A2F-1E26-406C-B3B7-3DD16961D958}" name="Units_Sold" dataDxfId="7"/>
    <tableColumn id="8" xr3:uid="{22DAA88C-CD43-4917-8D14-98C56FB75409}" name="Unit_Price_INR" dataDxfId="6"/>
    <tableColumn id="9" xr3:uid="{BBCAF110-4898-4986-B1EE-114B57EFD3D7}" name="Total_Sales_INR" dataDxfId="5"/>
    <tableColumn id="10" xr3:uid="{B7D06822-88DE-4C01-9DF1-85808F5F5572}" name="Sales_Target_INR" dataDxfId="4"/>
    <tableColumn id="11" xr3:uid="{52B2A4F3-D082-483C-B8FB-2386BB6A9A26}" name="Discount_%" dataDxfId="3"/>
    <tableColumn id="12" xr3:uid="{CFD38599-1CFF-4E1C-B7FC-6D04DE58F27E}" name="Returns" dataDxfId="2"/>
    <tableColumn id="15" xr3:uid="{BEFCDC30-2688-489D-AA10-5C5E26CE583F}" name="Profit_INR" dataDxfId="1">
      <calculatedColumnFormula>Table4[[#This Row],[Total_Sales_INR]]*0.2</calculatedColumnFormula>
    </tableColumn>
    <tableColumn id="14" xr3:uid="{44D599A0-2E19-4278-A7F7-4A429DB694D4}" name="Last_Year_Sales_IN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6"/>
  <sheetViews>
    <sheetView workbookViewId="0">
      <selection sqref="A1:N1048576"/>
    </sheetView>
  </sheetViews>
  <sheetFormatPr defaultRowHeight="14.4" x14ac:dyDescent="0.3"/>
  <cols>
    <col min="1" max="1" width="12" customWidth="1"/>
    <col min="2" max="2" width="8" customWidth="1"/>
    <col min="3" max="3" width="10" customWidth="1"/>
    <col min="4" max="4" width="14" customWidth="1"/>
    <col min="5" max="6" width="18" customWidth="1"/>
    <col min="7" max="7" width="12" customWidth="1"/>
    <col min="8" max="8" width="16" customWidth="1"/>
    <col min="9" max="10" width="18" customWidth="1"/>
    <col min="11" max="11" width="12" customWidth="1"/>
    <col min="12" max="12" width="10" customWidth="1"/>
    <col min="13" max="13" width="14" customWidth="1"/>
    <col min="14" max="14" width="20" customWidth="1"/>
  </cols>
  <sheetData>
    <row r="1" spans="1:14"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t="s">
        <v>14</v>
      </c>
      <c r="B2" s="2" t="s">
        <v>15</v>
      </c>
      <c r="C2" s="2" t="s">
        <v>16</v>
      </c>
      <c r="D2" s="2" t="s">
        <v>17</v>
      </c>
      <c r="E2" s="2" t="s">
        <v>18</v>
      </c>
      <c r="F2" s="2" t="s">
        <v>19</v>
      </c>
      <c r="G2" s="2">
        <v>61</v>
      </c>
      <c r="H2" s="2">
        <v>1499</v>
      </c>
      <c r="I2" s="2">
        <v>91439</v>
      </c>
      <c r="J2" s="2">
        <v>85092</v>
      </c>
      <c r="K2" s="2">
        <v>2</v>
      </c>
      <c r="L2" s="2">
        <v>0</v>
      </c>
      <c r="M2" s="2">
        <v>18308</v>
      </c>
      <c r="N2" s="2">
        <v>85410</v>
      </c>
    </row>
    <row r="3" spans="1:14" x14ac:dyDescent="0.3">
      <c r="A3" s="3" t="s">
        <v>20</v>
      </c>
      <c r="B3" s="3" t="s">
        <v>15</v>
      </c>
      <c r="C3" s="3" t="s">
        <v>16</v>
      </c>
      <c r="D3" s="3" t="s">
        <v>21</v>
      </c>
      <c r="E3" s="3" t="s">
        <v>22</v>
      </c>
      <c r="F3" s="3" t="s">
        <v>19</v>
      </c>
      <c r="G3" s="3">
        <v>184</v>
      </c>
      <c r="H3" s="3">
        <v>2499</v>
      </c>
      <c r="I3" s="3">
        <v>459816</v>
      </c>
      <c r="J3" s="3">
        <v>415350</v>
      </c>
      <c r="K3" s="3">
        <v>9.9</v>
      </c>
      <c r="L3" s="3">
        <v>13</v>
      </c>
      <c r="M3" s="3">
        <v>121107</v>
      </c>
      <c r="N3" s="3">
        <v>381204</v>
      </c>
    </row>
    <row r="4" spans="1:14" x14ac:dyDescent="0.3">
      <c r="A4" s="2" t="s">
        <v>23</v>
      </c>
      <c r="B4" s="2" t="s">
        <v>15</v>
      </c>
      <c r="C4" s="2" t="s">
        <v>16</v>
      </c>
      <c r="D4" s="2" t="s">
        <v>24</v>
      </c>
      <c r="E4" s="2" t="s">
        <v>25</v>
      </c>
      <c r="F4" s="2" t="s">
        <v>26</v>
      </c>
      <c r="G4" s="2">
        <v>128</v>
      </c>
      <c r="H4" s="2">
        <v>2499</v>
      </c>
      <c r="I4" s="2">
        <v>319872</v>
      </c>
      <c r="J4" s="2">
        <v>339681</v>
      </c>
      <c r="K4" s="2">
        <v>14.7</v>
      </c>
      <c r="L4" s="2">
        <v>5</v>
      </c>
      <c r="M4" s="2">
        <v>56242</v>
      </c>
      <c r="N4" s="2">
        <v>362526</v>
      </c>
    </row>
    <row r="5" spans="1:14" x14ac:dyDescent="0.3">
      <c r="A5" s="3" t="s">
        <v>27</v>
      </c>
      <c r="B5" s="3" t="s">
        <v>15</v>
      </c>
      <c r="C5" s="3" t="s">
        <v>16</v>
      </c>
      <c r="D5" s="3" t="s">
        <v>28</v>
      </c>
      <c r="E5" s="3" t="s">
        <v>29</v>
      </c>
      <c r="F5" s="3" t="s">
        <v>19</v>
      </c>
      <c r="G5" s="3">
        <v>185</v>
      </c>
      <c r="H5" s="3">
        <v>14999</v>
      </c>
      <c r="I5" s="3">
        <v>2774815</v>
      </c>
      <c r="J5" s="3">
        <v>2437414</v>
      </c>
      <c r="K5" s="3">
        <v>6.4</v>
      </c>
      <c r="L5" s="3">
        <v>1</v>
      </c>
      <c r="M5" s="3">
        <v>495532</v>
      </c>
      <c r="N5" s="3">
        <v>2819452</v>
      </c>
    </row>
    <row r="6" spans="1:14" x14ac:dyDescent="0.3">
      <c r="A6" s="2" t="s">
        <v>30</v>
      </c>
      <c r="B6" s="2" t="s">
        <v>31</v>
      </c>
      <c r="C6" s="2" t="s">
        <v>32</v>
      </c>
      <c r="D6" s="2" t="s">
        <v>33</v>
      </c>
      <c r="E6" s="2" t="s">
        <v>34</v>
      </c>
      <c r="F6" s="2" t="s">
        <v>35</v>
      </c>
      <c r="G6" s="2">
        <v>187</v>
      </c>
      <c r="H6" s="2">
        <v>24999</v>
      </c>
      <c r="I6" s="2">
        <v>4674813</v>
      </c>
      <c r="J6" s="2">
        <v>5482479</v>
      </c>
      <c r="K6" s="2">
        <v>2</v>
      </c>
      <c r="L6" s="2">
        <v>13</v>
      </c>
      <c r="M6" s="2">
        <v>1372865</v>
      </c>
      <c r="N6" s="2">
        <v>5014343</v>
      </c>
    </row>
    <row r="7" spans="1:14" x14ac:dyDescent="0.3">
      <c r="A7" s="3" t="s">
        <v>36</v>
      </c>
      <c r="B7" s="3" t="s">
        <v>37</v>
      </c>
      <c r="C7" s="3" t="s">
        <v>38</v>
      </c>
      <c r="D7" s="3" t="s">
        <v>17</v>
      </c>
      <c r="E7" s="3" t="s">
        <v>29</v>
      </c>
      <c r="F7" s="3" t="s">
        <v>39</v>
      </c>
      <c r="G7" s="3">
        <v>40</v>
      </c>
      <c r="H7" s="3">
        <v>9999</v>
      </c>
      <c r="I7" s="3">
        <v>399960</v>
      </c>
      <c r="J7" s="3">
        <v>365996</v>
      </c>
      <c r="K7" s="3">
        <v>1.1000000000000001</v>
      </c>
      <c r="L7" s="3">
        <v>2</v>
      </c>
      <c r="M7" s="3">
        <v>60885</v>
      </c>
      <c r="N7" s="3">
        <v>436513</v>
      </c>
    </row>
    <row r="8" spans="1:14" x14ac:dyDescent="0.3">
      <c r="A8" s="2" t="s">
        <v>40</v>
      </c>
      <c r="B8" s="2" t="s">
        <v>41</v>
      </c>
      <c r="C8" s="2" t="s">
        <v>38</v>
      </c>
      <c r="D8" s="2" t="s">
        <v>21</v>
      </c>
      <c r="E8" s="2" t="s">
        <v>22</v>
      </c>
      <c r="F8" s="2" t="s">
        <v>19</v>
      </c>
      <c r="G8" s="2">
        <v>123</v>
      </c>
      <c r="H8" s="2">
        <v>2499</v>
      </c>
      <c r="I8" s="2">
        <v>307377</v>
      </c>
      <c r="J8" s="2">
        <v>294773</v>
      </c>
      <c r="K8" s="2">
        <v>9.8000000000000007</v>
      </c>
      <c r="L8" s="2">
        <v>4</v>
      </c>
      <c r="M8" s="2">
        <v>52607</v>
      </c>
      <c r="N8" s="2">
        <v>319905</v>
      </c>
    </row>
    <row r="9" spans="1:14" x14ac:dyDescent="0.3">
      <c r="A9" s="3" t="s">
        <v>42</v>
      </c>
      <c r="B9" s="3" t="s">
        <v>15</v>
      </c>
      <c r="C9" s="3" t="s">
        <v>38</v>
      </c>
      <c r="D9" s="3" t="s">
        <v>24</v>
      </c>
      <c r="E9" s="3" t="s">
        <v>22</v>
      </c>
      <c r="F9" s="3" t="s">
        <v>39</v>
      </c>
      <c r="G9" s="3">
        <v>132</v>
      </c>
      <c r="H9" s="3">
        <v>1499</v>
      </c>
      <c r="I9" s="3">
        <v>197868</v>
      </c>
      <c r="J9" s="3">
        <v>232582</v>
      </c>
      <c r="K9" s="3">
        <v>3.9</v>
      </c>
      <c r="L9" s="3">
        <v>4</v>
      </c>
      <c r="M9" s="3">
        <v>45878</v>
      </c>
      <c r="N9" s="3">
        <v>203878</v>
      </c>
    </row>
    <row r="10" spans="1:14" x14ac:dyDescent="0.3">
      <c r="A10" s="2" t="s">
        <v>43</v>
      </c>
      <c r="B10" s="2" t="s">
        <v>15</v>
      </c>
      <c r="C10" s="2" t="s">
        <v>38</v>
      </c>
      <c r="D10" s="2" t="s">
        <v>28</v>
      </c>
      <c r="E10" s="2" t="s">
        <v>29</v>
      </c>
      <c r="F10" s="2" t="s">
        <v>39</v>
      </c>
      <c r="G10" s="2">
        <v>11</v>
      </c>
      <c r="H10" s="2">
        <v>9999</v>
      </c>
      <c r="I10" s="2">
        <v>109989</v>
      </c>
      <c r="J10" s="2">
        <v>120219</v>
      </c>
      <c r="K10" s="2">
        <v>14.5</v>
      </c>
      <c r="L10" s="2">
        <v>0</v>
      </c>
      <c r="M10" s="2">
        <v>36105</v>
      </c>
      <c r="N10" s="2">
        <v>113699</v>
      </c>
    </row>
    <row r="11" spans="1:14" x14ac:dyDescent="0.3">
      <c r="A11" s="3" t="s">
        <v>44</v>
      </c>
      <c r="B11" s="3" t="s">
        <v>15</v>
      </c>
      <c r="C11" s="3" t="s">
        <v>38</v>
      </c>
      <c r="D11" s="3" t="s">
        <v>45</v>
      </c>
      <c r="E11" s="3" t="s">
        <v>46</v>
      </c>
      <c r="F11" s="3" t="s">
        <v>26</v>
      </c>
      <c r="G11" s="3">
        <v>138</v>
      </c>
      <c r="H11" s="3">
        <v>2499</v>
      </c>
      <c r="I11" s="3">
        <v>344862</v>
      </c>
      <c r="J11" s="3">
        <v>293288</v>
      </c>
      <c r="K11" s="3">
        <v>4.7</v>
      </c>
      <c r="L11" s="3">
        <v>10</v>
      </c>
      <c r="M11" s="3">
        <v>119204</v>
      </c>
      <c r="N11" s="3">
        <v>395439</v>
      </c>
    </row>
    <row r="12" spans="1:14" x14ac:dyDescent="0.3">
      <c r="A12" s="2" t="s">
        <v>47</v>
      </c>
      <c r="B12" s="2" t="s">
        <v>15</v>
      </c>
      <c r="C12" s="2" t="s">
        <v>48</v>
      </c>
      <c r="D12" s="2" t="s">
        <v>17</v>
      </c>
      <c r="E12" s="2" t="s">
        <v>25</v>
      </c>
      <c r="F12" s="2" t="s">
        <v>39</v>
      </c>
      <c r="G12" s="2">
        <v>61</v>
      </c>
      <c r="H12" s="2">
        <v>499</v>
      </c>
      <c r="I12" s="2">
        <v>30439</v>
      </c>
      <c r="J12" s="2">
        <v>36521</v>
      </c>
      <c r="K12" s="2">
        <v>12.1</v>
      </c>
      <c r="L12" s="2">
        <v>0</v>
      </c>
      <c r="M12" s="2">
        <v>8099</v>
      </c>
      <c r="N12" s="2">
        <v>34590</v>
      </c>
    </row>
    <row r="13" spans="1:14" x14ac:dyDescent="0.3">
      <c r="A13" s="3" t="s">
        <v>49</v>
      </c>
      <c r="B13" s="3" t="s">
        <v>15</v>
      </c>
      <c r="C13" s="3" t="s">
        <v>48</v>
      </c>
      <c r="D13" s="3" t="s">
        <v>21</v>
      </c>
      <c r="E13" s="3" t="s">
        <v>18</v>
      </c>
      <c r="F13" s="3" t="s">
        <v>19</v>
      </c>
      <c r="G13" s="3">
        <v>54</v>
      </c>
      <c r="H13" s="3">
        <v>4999</v>
      </c>
      <c r="I13" s="3">
        <v>269946</v>
      </c>
      <c r="J13" s="3">
        <v>272993</v>
      </c>
      <c r="K13" s="3">
        <v>1.9</v>
      </c>
      <c r="L13" s="3">
        <v>1</v>
      </c>
      <c r="M13" s="3">
        <v>89177</v>
      </c>
      <c r="N13" s="3">
        <v>297959</v>
      </c>
    </row>
    <row r="14" spans="1:14" x14ac:dyDescent="0.3">
      <c r="A14" s="2" t="s">
        <v>50</v>
      </c>
      <c r="B14" s="2" t="s">
        <v>51</v>
      </c>
      <c r="C14" s="2" t="s">
        <v>52</v>
      </c>
      <c r="D14" s="2" t="s">
        <v>33</v>
      </c>
      <c r="E14" s="2" t="s">
        <v>53</v>
      </c>
      <c r="F14" s="2" t="s">
        <v>54</v>
      </c>
      <c r="G14" s="2">
        <v>132</v>
      </c>
      <c r="H14" s="2">
        <v>24999</v>
      </c>
      <c r="I14" s="2">
        <v>3299868</v>
      </c>
      <c r="J14" s="2">
        <v>3572946</v>
      </c>
      <c r="K14" s="2">
        <v>14.7</v>
      </c>
      <c r="L14" s="2">
        <v>8</v>
      </c>
      <c r="M14" s="2">
        <v>653092</v>
      </c>
      <c r="N14" s="2">
        <v>3171025</v>
      </c>
    </row>
    <row r="15" spans="1:14" x14ac:dyDescent="0.3">
      <c r="A15" s="3" t="s">
        <v>55</v>
      </c>
      <c r="B15" s="3" t="s">
        <v>15</v>
      </c>
      <c r="C15" s="3" t="s">
        <v>48</v>
      </c>
      <c r="D15" s="3" t="s">
        <v>28</v>
      </c>
      <c r="E15" s="3" t="s">
        <v>25</v>
      </c>
      <c r="F15" s="3" t="s">
        <v>26</v>
      </c>
      <c r="G15" s="3">
        <v>111</v>
      </c>
      <c r="H15" s="3">
        <v>499</v>
      </c>
      <c r="I15" s="3">
        <v>55389</v>
      </c>
      <c r="J15" s="3">
        <v>48006</v>
      </c>
      <c r="K15" s="3">
        <v>7.7</v>
      </c>
      <c r="L15" s="3">
        <v>8</v>
      </c>
      <c r="M15" s="3">
        <v>16677</v>
      </c>
      <c r="N15" s="3">
        <v>47384</v>
      </c>
    </row>
    <row r="16" spans="1:14" x14ac:dyDescent="0.3">
      <c r="A16" s="2" t="s">
        <v>56</v>
      </c>
      <c r="B16" s="2" t="s">
        <v>15</v>
      </c>
      <c r="C16" s="2" t="s">
        <v>48</v>
      </c>
      <c r="D16" s="2" t="s">
        <v>45</v>
      </c>
      <c r="E16" s="2" t="s">
        <v>25</v>
      </c>
      <c r="F16" s="2" t="s">
        <v>57</v>
      </c>
      <c r="G16" s="2">
        <v>153</v>
      </c>
      <c r="H16" s="2">
        <v>1499</v>
      </c>
      <c r="I16" s="2">
        <v>229347</v>
      </c>
      <c r="J16" s="2">
        <v>251281</v>
      </c>
      <c r="K16" s="2">
        <v>9.8000000000000007</v>
      </c>
      <c r="L16" s="2">
        <v>8</v>
      </c>
      <c r="M16" s="2">
        <v>38138</v>
      </c>
      <c r="N16" s="2">
        <v>237891</v>
      </c>
    </row>
    <row r="17" spans="1:14" x14ac:dyDescent="0.3">
      <c r="A17" s="3" t="s">
        <v>58</v>
      </c>
      <c r="B17" s="3" t="s">
        <v>59</v>
      </c>
      <c r="C17" s="3" t="s">
        <v>60</v>
      </c>
      <c r="D17" s="3" t="s">
        <v>17</v>
      </c>
      <c r="E17" s="3" t="s">
        <v>29</v>
      </c>
      <c r="F17" s="3" t="s">
        <v>61</v>
      </c>
      <c r="G17" s="3">
        <v>165</v>
      </c>
      <c r="H17" s="3">
        <v>1499</v>
      </c>
      <c r="I17" s="3">
        <v>247335</v>
      </c>
      <c r="J17" s="3">
        <v>239675</v>
      </c>
      <c r="K17" s="3">
        <v>0.8</v>
      </c>
      <c r="L17" s="3">
        <v>5</v>
      </c>
      <c r="M17" s="3">
        <v>77140</v>
      </c>
      <c r="N17" s="3">
        <v>235623</v>
      </c>
    </row>
    <row r="18" spans="1:14" x14ac:dyDescent="0.3">
      <c r="A18" s="2" t="s">
        <v>62</v>
      </c>
      <c r="B18" s="2" t="s">
        <v>63</v>
      </c>
      <c r="C18" s="2" t="s">
        <v>60</v>
      </c>
      <c r="D18" s="2" t="s">
        <v>21</v>
      </c>
      <c r="E18" s="2" t="s">
        <v>29</v>
      </c>
      <c r="F18" s="2" t="s">
        <v>61</v>
      </c>
      <c r="G18" s="2">
        <v>123</v>
      </c>
      <c r="H18" s="2">
        <v>999</v>
      </c>
      <c r="I18" s="2"/>
      <c r="J18" s="2">
        <v>142138</v>
      </c>
      <c r="K18" s="2">
        <v>2.4</v>
      </c>
      <c r="L18" s="2">
        <v>2</v>
      </c>
      <c r="M18" s="2">
        <v>37454</v>
      </c>
      <c r="N18" s="2">
        <v>114348</v>
      </c>
    </row>
    <row r="19" spans="1:14" x14ac:dyDescent="0.3">
      <c r="A19" s="3" t="s">
        <v>64</v>
      </c>
      <c r="B19" s="3" t="s">
        <v>51</v>
      </c>
      <c r="C19" s="3" t="s">
        <v>60</v>
      </c>
      <c r="D19" s="3" t="s">
        <v>24</v>
      </c>
      <c r="E19" s="3" t="s">
        <v>25</v>
      </c>
      <c r="F19" s="3" t="s">
        <v>39</v>
      </c>
      <c r="G19" s="3">
        <v>84</v>
      </c>
      <c r="H19" s="3">
        <v>999</v>
      </c>
      <c r="I19" s="3">
        <v>83916</v>
      </c>
      <c r="J19" s="3">
        <v>85791</v>
      </c>
      <c r="K19" s="3">
        <v>12</v>
      </c>
      <c r="L19" s="3">
        <v>0</v>
      </c>
      <c r="M19" s="3">
        <v>18524</v>
      </c>
      <c r="N19" s="3">
        <v>84945</v>
      </c>
    </row>
    <row r="20" spans="1:14" x14ac:dyDescent="0.3">
      <c r="A20" s="2" t="s">
        <v>65</v>
      </c>
      <c r="B20" s="2" t="s">
        <v>41</v>
      </c>
      <c r="C20" s="2" t="s">
        <v>66</v>
      </c>
      <c r="D20" s="2" t="s">
        <v>67</v>
      </c>
      <c r="E20" s="2" t="s">
        <v>68</v>
      </c>
      <c r="F20" s="2" t="s">
        <v>69</v>
      </c>
      <c r="G20" s="2">
        <v>199</v>
      </c>
      <c r="H20" s="2">
        <v>14999</v>
      </c>
      <c r="I20" s="2">
        <v>2984801</v>
      </c>
      <c r="J20" s="2">
        <v>2974906</v>
      </c>
      <c r="K20" s="2"/>
      <c r="L20" s="2">
        <v>7</v>
      </c>
      <c r="M20" s="2">
        <v>551683</v>
      </c>
      <c r="N20" s="2">
        <v>2812273</v>
      </c>
    </row>
    <row r="21" spans="1:14" x14ac:dyDescent="0.3">
      <c r="A21" s="3" t="s">
        <v>70</v>
      </c>
      <c r="B21" s="3" t="s">
        <v>15</v>
      </c>
      <c r="C21" s="3" t="s">
        <v>60</v>
      </c>
      <c r="D21" s="3" t="s">
        <v>45</v>
      </c>
      <c r="E21" s="3" t="s">
        <v>22</v>
      </c>
      <c r="F21" s="3" t="s">
        <v>26</v>
      </c>
      <c r="G21" s="3">
        <v>75</v>
      </c>
      <c r="H21" s="3">
        <v>1499</v>
      </c>
      <c r="I21" s="3">
        <v>112425</v>
      </c>
      <c r="J21" s="3">
        <v>118373</v>
      </c>
      <c r="K21" s="3">
        <v>6.5</v>
      </c>
      <c r="L21" s="3">
        <v>0</v>
      </c>
      <c r="M21" s="3">
        <v>37834</v>
      </c>
      <c r="N21" s="3">
        <v>91340</v>
      </c>
    </row>
    <row r="22" spans="1:14" x14ac:dyDescent="0.3">
      <c r="A22" s="2" t="s">
        <v>71</v>
      </c>
      <c r="B22" s="2" t="s">
        <v>72</v>
      </c>
      <c r="C22" s="2" t="s">
        <v>16</v>
      </c>
      <c r="D22" s="2" t="s">
        <v>17</v>
      </c>
      <c r="E22" s="2" t="s">
        <v>22</v>
      </c>
      <c r="F22" s="2" t="s">
        <v>61</v>
      </c>
      <c r="G22" s="2">
        <v>50</v>
      </c>
      <c r="H22" s="2">
        <v>2499</v>
      </c>
      <c r="I22" s="2">
        <v>124950</v>
      </c>
      <c r="J22" s="2">
        <v>138291</v>
      </c>
      <c r="K22" s="2">
        <v>7.3</v>
      </c>
      <c r="L22" s="2">
        <v>0</v>
      </c>
      <c r="M22" s="2">
        <v>29646</v>
      </c>
      <c r="N22" s="2">
        <v>108779</v>
      </c>
    </row>
    <row r="23" spans="1:14" x14ac:dyDescent="0.3">
      <c r="A23" s="3" t="s">
        <v>73</v>
      </c>
      <c r="B23" s="3" t="s">
        <v>74</v>
      </c>
      <c r="C23" s="3" t="s">
        <v>75</v>
      </c>
      <c r="D23" s="3" t="s">
        <v>45</v>
      </c>
      <c r="E23" s="3" t="s">
        <v>76</v>
      </c>
      <c r="F23" s="3" t="s">
        <v>77</v>
      </c>
      <c r="G23" s="3">
        <v>29</v>
      </c>
      <c r="H23" s="3">
        <v>2499</v>
      </c>
      <c r="I23" s="3">
        <v>72471</v>
      </c>
      <c r="J23" s="3">
        <v>67700</v>
      </c>
      <c r="K23" s="3">
        <v>3.4</v>
      </c>
      <c r="L23" s="3">
        <v>2</v>
      </c>
      <c r="M23" s="3">
        <v>16972</v>
      </c>
      <c r="N23" s="3">
        <v>71277</v>
      </c>
    </row>
    <row r="24" spans="1:14" x14ac:dyDescent="0.3">
      <c r="A24" s="2" t="s">
        <v>78</v>
      </c>
      <c r="B24" s="2" t="s">
        <v>79</v>
      </c>
      <c r="C24" s="2" t="s">
        <v>16</v>
      </c>
      <c r="D24" s="2" t="s">
        <v>24</v>
      </c>
      <c r="E24" s="2" t="s">
        <v>22</v>
      </c>
      <c r="F24" s="2" t="s">
        <v>57</v>
      </c>
      <c r="G24" s="2">
        <v>78</v>
      </c>
      <c r="H24" s="2">
        <v>4999</v>
      </c>
      <c r="I24" s="2">
        <v>389922</v>
      </c>
      <c r="J24" s="2">
        <v>332817</v>
      </c>
      <c r="K24" s="2">
        <v>8</v>
      </c>
      <c r="L24" s="2">
        <v>1</v>
      </c>
      <c r="M24" s="2">
        <v>115080</v>
      </c>
      <c r="N24" s="2">
        <v>327505</v>
      </c>
    </row>
    <row r="25" spans="1:14" x14ac:dyDescent="0.3">
      <c r="A25" s="3" t="s">
        <v>80</v>
      </c>
      <c r="B25" s="3" t="s">
        <v>81</v>
      </c>
      <c r="C25" s="3" t="s">
        <v>82</v>
      </c>
      <c r="D25" s="3" t="s">
        <v>83</v>
      </c>
      <c r="E25" s="3" t="s">
        <v>53</v>
      </c>
      <c r="F25" s="3" t="s">
        <v>84</v>
      </c>
      <c r="G25" s="3">
        <v>14</v>
      </c>
      <c r="H25" s="3">
        <v>9999</v>
      </c>
      <c r="I25" s="3">
        <v>139986</v>
      </c>
      <c r="J25" s="3">
        <v>165110</v>
      </c>
      <c r="K25" s="3">
        <v>13.3</v>
      </c>
      <c r="L25" s="3">
        <v>0</v>
      </c>
      <c r="M25" s="3">
        <v>36069</v>
      </c>
      <c r="N25" s="3">
        <v>150195</v>
      </c>
    </row>
    <row r="26" spans="1:14" x14ac:dyDescent="0.3">
      <c r="A26" s="2" t="s">
        <v>85</v>
      </c>
      <c r="B26" s="2" t="s">
        <v>86</v>
      </c>
      <c r="C26" s="2" t="s">
        <v>82</v>
      </c>
      <c r="D26" s="2" t="s">
        <v>33</v>
      </c>
      <c r="E26" s="2" t="s">
        <v>87</v>
      </c>
      <c r="F26" s="2" t="s">
        <v>88</v>
      </c>
      <c r="G26" s="2">
        <v>118</v>
      </c>
      <c r="H26" s="2">
        <v>14999</v>
      </c>
      <c r="I26" s="2">
        <v>1769882</v>
      </c>
      <c r="J26" s="2">
        <v>1979942</v>
      </c>
      <c r="K26" s="2">
        <v>13.6</v>
      </c>
      <c r="L26" s="2">
        <v>4</v>
      </c>
      <c r="M26" s="2">
        <v>381261</v>
      </c>
      <c r="N26" s="2">
        <v>1629539</v>
      </c>
    </row>
    <row r="27" spans="1:14" x14ac:dyDescent="0.3">
      <c r="A27" s="3" t="s">
        <v>89</v>
      </c>
      <c r="B27" s="3" t="s">
        <v>72</v>
      </c>
      <c r="C27" s="3" t="s">
        <v>38</v>
      </c>
      <c r="D27" s="3" t="s">
        <v>17</v>
      </c>
      <c r="E27" s="3" t="s">
        <v>18</v>
      </c>
      <c r="F27" s="3" t="s">
        <v>61</v>
      </c>
      <c r="G27" s="3">
        <v>14</v>
      </c>
      <c r="H27" s="3">
        <v>4999</v>
      </c>
      <c r="I27" s="3">
        <v>69986</v>
      </c>
      <c r="J27" s="3">
        <v>61389</v>
      </c>
      <c r="K27" s="3">
        <v>5.8</v>
      </c>
      <c r="L27" s="3">
        <v>0</v>
      </c>
      <c r="M27" s="3">
        <v>14449</v>
      </c>
      <c r="N27" s="3">
        <v>74716</v>
      </c>
    </row>
    <row r="28" spans="1:14" x14ac:dyDescent="0.3">
      <c r="A28" s="2" t="s">
        <v>90</v>
      </c>
      <c r="B28" s="2" t="s">
        <v>72</v>
      </c>
      <c r="C28" s="2" t="s">
        <v>38</v>
      </c>
      <c r="D28" s="2" t="s">
        <v>21</v>
      </c>
      <c r="E28" s="2" t="s">
        <v>46</v>
      </c>
      <c r="F28" s="2" t="s">
        <v>39</v>
      </c>
      <c r="G28" s="2">
        <v>111</v>
      </c>
      <c r="H28" s="2">
        <v>2499</v>
      </c>
      <c r="I28" s="2"/>
      <c r="J28" s="2">
        <v>242394</v>
      </c>
      <c r="K28" s="2">
        <v>13.9</v>
      </c>
      <c r="L28" s="2">
        <v>7</v>
      </c>
      <c r="M28" s="2">
        <v>82811</v>
      </c>
      <c r="N28" s="2">
        <v>254773</v>
      </c>
    </row>
    <row r="29" spans="1:14" x14ac:dyDescent="0.3">
      <c r="A29" s="3" t="s">
        <v>91</v>
      </c>
      <c r="B29" s="3" t="s">
        <v>92</v>
      </c>
      <c r="C29" s="3" t="s">
        <v>93</v>
      </c>
      <c r="D29" s="3" t="s">
        <v>94</v>
      </c>
      <c r="E29" s="3" t="s">
        <v>95</v>
      </c>
      <c r="F29" s="3" t="s">
        <v>35</v>
      </c>
      <c r="G29" s="3">
        <v>14</v>
      </c>
      <c r="H29" s="3">
        <v>499</v>
      </c>
      <c r="I29" s="3">
        <v>6986</v>
      </c>
      <c r="J29" s="3">
        <v>6234</v>
      </c>
      <c r="K29" s="3">
        <v>4.8</v>
      </c>
      <c r="L29" s="3">
        <v>0</v>
      </c>
      <c r="M29" s="3">
        <v>1980</v>
      </c>
      <c r="N29" s="3">
        <v>8017</v>
      </c>
    </row>
    <row r="30" spans="1:14" x14ac:dyDescent="0.3">
      <c r="A30" s="2" t="s">
        <v>96</v>
      </c>
      <c r="B30" s="2" t="s">
        <v>97</v>
      </c>
      <c r="C30" s="2" t="s">
        <v>93</v>
      </c>
      <c r="D30" s="2" t="s">
        <v>98</v>
      </c>
      <c r="E30" s="2" t="s">
        <v>99</v>
      </c>
      <c r="F30" s="2" t="s">
        <v>35</v>
      </c>
      <c r="G30" s="2">
        <v>29</v>
      </c>
      <c r="H30" s="2">
        <v>4999</v>
      </c>
      <c r="I30" s="2">
        <v>144971</v>
      </c>
      <c r="J30" s="2">
        <v>171357</v>
      </c>
      <c r="K30" s="2">
        <v>4.5999999999999996</v>
      </c>
      <c r="L30" s="2">
        <v>2</v>
      </c>
      <c r="M30" s="2">
        <v>26335</v>
      </c>
      <c r="N30" s="2">
        <v>129885</v>
      </c>
    </row>
    <row r="31" spans="1:14" x14ac:dyDescent="0.3">
      <c r="A31" s="3" t="s">
        <v>100</v>
      </c>
      <c r="B31" s="3" t="s">
        <v>101</v>
      </c>
      <c r="C31" s="3" t="s">
        <v>60</v>
      </c>
      <c r="D31" s="3" t="s">
        <v>102</v>
      </c>
      <c r="E31" s="3" t="s">
        <v>34</v>
      </c>
      <c r="F31" s="3" t="s">
        <v>103</v>
      </c>
      <c r="G31" s="3">
        <v>172</v>
      </c>
      <c r="H31" s="3">
        <v>1499</v>
      </c>
      <c r="I31" s="3">
        <v>257828</v>
      </c>
      <c r="J31" s="3">
        <v>260614</v>
      </c>
      <c r="K31" s="3">
        <v>2.2000000000000002</v>
      </c>
      <c r="L31" s="3">
        <v>5</v>
      </c>
      <c r="M31" s="3">
        <v>64992</v>
      </c>
      <c r="N31" s="3">
        <v>278632</v>
      </c>
    </row>
    <row r="32" spans="1:14" x14ac:dyDescent="0.3">
      <c r="A32" s="2" t="s">
        <v>104</v>
      </c>
      <c r="B32" s="2" t="s">
        <v>105</v>
      </c>
      <c r="C32" s="2" t="s">
        <v>32</v>
      </c>
      <c r="D32" s="2" t="s">
        <v>94</v>
      </c>
      <c r="E32" s="2" t="s">
        <v>106</v>
      </c>
      <c r="F32" s="2" t="s">
        <v>107</v>
      </c>
      <c r="G32" s="2">
        <v>32</v>
      </c>
      <c r="H32" s="2">
        <v>14999</v>
      </c>
      <c r="I32" s="2">
        <v>479968</v>
      </c>
      <c r="J32" s="2">
        <v>484894</v>
      </c>
      <c r="K32" s="2">
        <v>1.3</v>
      </c>
      <c r="L32" s="2">
        <v>0</v>
      </c>
      <c r="M32" s="2">
        <v>155448</v>
      </c>
      <c r="N32" s="2">
        <v>398771</v>
      </c>
    </row>
    <row r="33" spans="1:14" x14ac:dyDescent="0.3">
      <c r="A33" s="3" t="s">
        <v>108</v>
      </c>
      <c r="B33" s="3" t="s">
        <v>109</v>
      </c>
      <c r="C33" s="3" t="s">
        <v>110</v>
      </c>
      <c r="D33" s="3" t="s">
        <v>111</v>
      </c>
      <c r="E33" s="3" t="s">
        <v>53</v>
      </c>
      <c r="F33" s="3" t="s">
        <v>112</v>
      </c>
      <c r="G33" s="3">
        <v>113</v>
      </c>
      <c r="H33" s="3">
        <v>9999</v>
      </c>
      <c r="I33" s="3">
        <v>1129887</v>
      </c>
      <c r="J33" s="3">
        <v>1159690</v>
      </c>
      <c r="K33" s="3">
        <v>6.6</v>
      </c>
      <c r="L33" s="3">
        <v>4</v>
      </c>
      <c r="M33" s="3">
        <v>277843</v>
      </c>
      <c r="N33" s="3">
        <v>1147728</v>
      </c>
    </row>
    <row r="34" spans="1:14" x14ac:dyDescent="0.3">
      <c r="A34" s="2" t="s">
        <v>113</v>
      </c>
      <c r="B34" s="2" t="s">
        <v>101</v>
      </c>
      <c r="C34" s="2" t="s">
        <v>114</v>
      </c>
      <c r="D34" s="2" t="s">
        <v>94</v>
      </c>
      <c r="E34" s="2" t="s">
        <v>99</v>
      </c>
      <c r="F34" s="2" t="s">
        <v>88</v>
      </c>
      <c r="G34" s="2">
        <v>164</v>
      </c>
      <c r="H34" s="2">
        <v>9999</v>
      </c>
      <c r="I34" s="2">
        <v>1639836</v>
      </c>
      <c r="J34" s="2">
        <v>1713766</v>
      </c>
      <c r="K34" s="2">
        <v>10.9</v>
      </c>
      <c r="L34" s="2">
        <v>13</v>
      </c>
      <c r="M34" s="2">
        <v>507954</v>
      </c>
      <c r="N34" s="2">
        <v>1487932</v>
      </c>
    </row>
    <row r="35" spans="1:14" x14ac:dyDescent="0.3">
      <c r="A35" s="3" t="s">
        <v>115</v>
      </c>
      <c r="B35" s="3" t="s">
        <v>72</v>
      </c>
      <c r="C35" s="3" t="s">
        <v>48</v>
      </c>
      <c r="D35" s="3" t="s">
        <v>28</v>
      </c>
      <c r="E35" s="3" t="s">
        <v>46</v>
      </c>
      <c r="F35" s="3" t="s">
        <v>61</v>
      </c>
      <c r="G35" s="3">
        <v>85</v>
      </c>
      <c r="H35" s="3">
        <v>499</v>
      </c>
      <c r="I35" s="3">
        <v>42415</v>
      </c>
      <c r="J35" s="3">
        <v>45968</v>
      </c>
      <c r="K35" s="3">
        <v>5.0999999999999996</v>
      </c>
      <c r="L35" s="3">
        <v>1</v>
      </c>
      <c r="M35" s="3">
        <v>11754</v>
      </c>
      <c r="N35" s="3">
        <v>34529</v>
      </c>
    </row>
    <row r="36" spans="1:14" x14ac:dyDescent="0.3">
      <c r="A36" s="2" t="s">
        <v>116</v>
      </c>
      <c r="B36" s="2" t="s">
        <v>59</v>
      </c>
      <c r="C36" s="2" t="s">
        <v>60</v>
      </c>
      <c r="D36" s="2" t="s">
        <v>117</v>
      </c>
      <c r="E36" s="2" t="s">
        <v>118</v>
      </c>
      <c r="F36" s="2" t="s">
        <v>107</v>
      </c>
      <c r="G36" s="2">
        <v>100</v>
      </c>
      <c r="H36" s="2">
        <v>1499</v>
      </c>
      <c r="I36" s="2">
        <v>149900</v>
      </c>
      <c r="J36" s="2">
        <v>130726</v>
      </c>
      <c r="K36" s="2">
        <v>10.199999999999999</v>
      </c>
      <c r="L36" s="2">
        <v>0</v>
      </c>
      <c r="M36" s="2">
        <v>33509</v>
      </c>
      <c r="N36" s="2">
        <v>136363</v>
      </c>
    </row>
    <row r="37" spans="1:14" x14ac:dyDescent="0.3">
      <c r="A37" s="3" t="s">
        <v>119</v>
      </c>
      <c r="B37" s="3" t="s">
        <v>72</v>
      </c>
      <c r="C37" s="3" t="s">
        <v>60</v>
      </c>
      <c r="D37" s="3" t="s">
        <v>17</v>
      </c>
      <c r="E37" s="3" t="s">
        <v>46</v>
      </c>
      <c r="F37" s="3" t="s">
        <v>61</v>
      </c>
      <c r="G37" s="3">
        <v>140</v>
      </c>
      <c r="H37" s="3">
        <v>4999</v>
      </c>
      <c r="I37" s="3">
        <v>699860</v>
      </c>
      <c r="J37" s="3">
        <v>629765</v>
      </c>
      <c r="K37" s="3">
        <v>6.2</v>
      </c>
      <c r="L37" s="3">
        <v>8</v>
      </c>
      <c r="M37" s="3"/>
      <c r="N37" s="3">
        <v>634183</v>
      </c>
    </row>
    <row r="38" spans="1:14" x14ac:dyDescent="0.3">
      <c r="A38" s="2" t="s">
        <v>120</v>
      </c>
      <c r="B38" s="2" t="s">
        <v>72</v>
      </c>
      <c r="C38" s="2" t="s">
        <v>60</v>
      </c>
      <c r="D38" s="2" t="s">
        <v>21</v>
      </c>
      <c r="E38" s="2" t="s">
        <v>29</v>
      </c>
      <c r="F38" s="2" t="s">
        <v>61</v>
      </c>
      <c r="G38" s="2">
        <v>19</v>
      </c>
      <c r="H38" s="2">
        <v>1499</v>
      </c>
      <c r="I38" s="2">
        <v>28481</v>
      </c>
      <c r="J38" s="2">
        <v>28731</v>
      </c>
      <c r="K38" s="2">
        <v>11.9</v>
      </c>
      <c r="L38" s="2">
        <v>1</v>
      </c>
      <c r="M38" s="2">
        <v>7470</v>
      </c>
      <c r="N38" s="2">
        <v>24070</v>
      </c>
    </row>
    <row r="39" spans="1:14" x14ac:dyDescent="0.3">
      <c r="A39" s="3" t="s">
        <v>121</v>
      </c>
      <c r="B39" s="3" t="s">
        <v>92</v>
      </c>
      <c r="C39" s="3" t="s">
        <v>114</v>
      </c>
      <c r="D39" s="3" t="s">
        <v>122</v>
      </c>
      <c r="E39" s="3" t="s">
        <v>68</v>
      </c>
      <c r="F39" s="3" t="s">
        <v>69</v>
      </c>
      <c r="G39" s="3">
        <v>61</v>
      </c>
      <c r="H39" s="3">
        <v>24999</v>
      </c>
      <c r="I39" s="3">
        <v>1524939</v>
      </c>
      <c r="J39" s="3">
        <v>1561256</v>
      </c>
      <c r="K39" s="3">
        <v>10.8</v>
      </c>
      <c r="L39" s="3">
        <v>1</v>
      </c>
      <c r="M39" s="3">
        <v>450833</v>
      </c>
      <c r="N39" s="3">
        <v>1543998</v>
      </c>
    </row>
    <row r="40" spans="1:14" x14ac:dyDescent="0.3">
      <c r="A40" s="2" t="s">
        <v>123</v>
      </c>
      <c r="B40" s="2" t="s">
        <v>72</v>
      </c>
      <c r="C40" s="2" t="s">
        <v>60</v>
      </c>
      <c r="D40" s="2" t="s">
        <v>28</v>
      </c>
      <c r="E40" s="2" t="s">
        <v>46</v>
      </c>
      <c r="F40" s="2" t="s">
        <v>26</v>
      </c>
      <c r="G40" s="2">
        <v>185</v>
      </c>
      <c r="H40" s="2">
        <v>2499</v>
      </c>
      <c r="I40" s="2">
        <v>462315</v>
      </c>
      <c r="J40" s="2">
        <v>485131</v>
      </c>
      <c r="K40" s="2">
        <v>12.7</v>
      </c>
      <c r="L40" s="2">
        <v>12</v>
      </c>
      <c r="M40" s="2">
        <v>115417</v>
      </c>
      <c r="N40" s="2">
        <v>391887</v>
      </c>
    </row>
    <row r="41" spans="1:14" x14ac:dyDescent="0.3">
      <c r="A41" s="3" t="s">
        <v>124</v>
      </c>
      <c r="B41" s="3" t="s">
        <v>72</v>
      </c>
      <c r="C41" s="3" t="s">
        <v>60</v>
      </c>
      <c r="D41" s="3" t="s">
        <v>45</v>
      </c>
      <c r="E41" s="3" t="s">
        <v>18</v>
      </c>
      <c r="F41" s="3" t="s">
        <v>39</v>
      </c>
      <c r="G41" s="3">
        <v>55</v>
      </c>
      <c r="H41" s="3">
        <v>4999</v>
      </c>
      <c r="I41" s="3">
        <v>274945</v>
      </c>
      <c r="J41" s="3">
        <v>279760</v>
      </c>
      <c r="K41" s="3"/>
      <c r="L41" s="3">
        <v>3</v>
      </c>
      <c r="M41" s="3">
        <v>80854</v>
      </c>
      <c r="N41" s="3">
        <v>245000</v>
      </c>
    </row>
    <row r="42" spans="1:14" x14ac:dyDescent="0.3">
      <c r="A42" s="2" t="s">
        <v>125</v>
      </c>
      <c r="B42" s="2" t="s">
        <v>126</v>
      </c>
      <c r="C42" s="2" t="s">
        <v>16</v>
      </c>
      <c r="D42" s="2" t="s">
        <v>17</v>
      </c>
      <c r="E42" s="2" t="s">
        <v>46</v>
      </c>
      <c r="F42" s="2" t="s">
        <v>57</v>
      </c>
      <c r="G42" s="2">
        <v>145</v>
      </c>
      <c r="H42" s="2">
        <v>2499</v>
      </c>
      <c r="I42" s="2">
        <v>362355</v>
      </c>
      <c r="J42" s="2">
        <v>346017</v>
      </c>
      <c r="K42" s="2">
        <v>4.8</v>
      </c>
      <c r="L42" s="2">
        <v>5</v>
      </c>
      <c r="M42" s="2">
        <v>83421</v>
      </c>
      <c r="N42" s="2">
        <v>402024</v>
      </c>
    </row>
    <row r="43" spans="1:14" x14ac:dyDescent="0.3">
      <c r="A43" s="3" t="s">
        <v>127</v>
      </c>
      <c r="B43" s="3" t="s">
        <v>126</v>
      </c>
      <c r="C43" s="3" t="s">
        <v>16</v>
      </c>
      <c r="D43" s="3" t="s">
        <v>21</v>
      </c>
      <c r="E43" s="3" t="s">
        <v>29</v>
      </c>
      <c r="F43" s="3" t="s">
        <v>39</v>
      </c>
      <c r="G43" s="3">
        <v>155</v>
      </c>
      <c r="H43" s="3">
        <v>1499</v>
      </c>
      <c r="I43" s="3">
        <v>232345</v>
      </c>
      <c r="J43" s="3">
        <v>253664</v>
      </c>
      <c r="K43" s="3">
        <v>0.7</v>
      </c>
      <c r="L43" s="3">
        <v>6</v>
      </c>
      <c r="M43" s="3">
        <v>60629</v>
      </c>
      <c r="N43" s="3">
        <v>233649</v>
      </c>
    </row>
    <row r="44" spans="1:14" x14ac:dyDescent="0.3">
      <c r="A44" s="2" t="s">
        <v>128</v>
      </c>
      <c r="B44" s="2" t="s">
        <v>126</v>
      </c>
      <c r="C44" s="2" t="s">
        <v>16</v>
      </c>
      <c r="D44" s="2" t="s">
        <v>24</v>
      </c>
      <c r="E44" s="2" t="s">
        <v>29</v>
      </c>
      <c r="F44" s="2" t="s">
        <v>26</v>
      </c>
      <c r="G44" s="2">
        <v>32</v>
      </c>
      <c r="H44" s="2">
        <v>2499</v>
      </c>
      <c r="I44" s="2">
        <v>79968</v>
      </c>
      <c r="J44" s="2">
        <v>95241</v>
      </c>
      <c r="K44" s="2">
        <v>11.4</v>
      </c>
      <c r="L44" s="2">
        <v>1</v>
      </c>
      <c r="M44" s="2">
        <v>14501</v>
      </c>
      <c r="N44" s="2">
        <v>70816</v>
      </c>
    </row>
    <row r="45" spans="1:14" x14ac:dyDescent="0.3">
      <c r="A45" s="3" t="s">
        <v>129</v>
      </c>
      <c r="B45" s="3" t="s">
        <v>130</v>
      </c>
      <c r="C45" s="3" t="s">
        <v>16</v>
      </c>
      <c r="D45" s="3" t="s">
        <v>28</v>
      </c>
      <c r="E45" s="3" t="s">
        <v>22</v>
      </c>
      <c r="F45" s="3" t="s">
        <v>19</v>
      </c>
      <c r="G45" s="3">
        <v>96</v>
      </c>
      <c r="H45" s="3">
        <v>499</v>
      </c>
      <c r="I45" s="3">
        <v>47904</v>
      </c>
      <c r="J45" s="3">
        <v>56748</v>
      </c>
      <c r="K45" s="3">
        <v>9.8000000000000007</v>
      </c>
      <c r="L45" s="3">
        <v>6</v>
      </c>
      <c r="M45" s="3">
        <v>12900</v>
      </c>
      <c r="N45" s="3">
        <v>49121</v>
      </c>
    </row>
    <row r="46" spans="1:14" x14ac:dyDescent="0.3">
      <c r="A46" s="2" t="s">
        <v>131</v>
      </c>
      <c r="B46" s="2" t="s">
        <v>126</v>
      </c>
      <c r="C46" s="2" t="s">
        <v>16</v>
      </c>
      <c r="D46" s="2" t="s">
        <v>45</v>
      </c>
      <c r="E46" s="2" t="s">
        <v>29</v>
      </c>
      <c r="F46" s="2" t="s">
        <v>19</v>
      </c>
      <c r="G46" s="2">
        <v>185</v>
      </c>
      <c r="H46" s="2">
        <v>24999</v>
      </c>
      <c r="I46" s="2">
        <v>4624815</v>
      </c>
      <c r="J46" s="2">
        <v>4897373</v>
      </c>
      <c r="K46" s="2">
        <v>4.5</v>
      </c>
      <c r="L46" s="2">
        <v>7</v>
      </c>
      <c r="M46" s="2">
        <v>1262251</v>
      </c>
      <c r="N46" s="2">
        <v>4960814</v>
      </c>
    </row>
    <row r="47" spans="1:14" x14ac:dyDescent="0.3">
      <c r="A47" s="3" t="s">
        <v>132</v>
      </c>
      <c r="B47" s="3" t="s">
        <v>126</v>
      </c>
      <c r="C47" s="3" t="s">
        <v>38</v>
      </c>
      <c r="D47" s="3" t="s">
        <v>17</v>
      </c>
      <c r="E47" s="3" t="s">
        <v>22</v>
      </c>
      <c r="F47" s="3" t="s">
        <v>26</v>
      </c>
      <c r="G47" s="3">
        <v>-196</v>
      </c>
      <c r="H47" s="3">
        <v>2499</v>
      </c>
      <c r="I47" s="3">
        <v>489804</v>
      </c>
      <c r="J47" s="3">
        <v>438000</v>
      </c>
      <c r="K47" s="3">
        <v>11.8</v>
      </c>
      <c r="L47" s="3">
        <v>13</v>
      </c>
      <c r="M47" s="3">
        <v>166689</v>
      </c>
      <c r="N47" s="3">
        <v>551326</v>
      </c>
    </row>
    <row r="48" spans="1:14" x14ac:dyDescent="0.3">
      <c r="A48" s="2" t="s">
        <v>133</v>
      </c>
      <c r="B48" s="2" t="s">
        <v>74</v>
      </c>
      <c r="C48" s="2" t="s">
        <v>52</v>
      </c>
      <c r="D48" s="2" t="s">
        <v>134</v>
      </c>
      <c r="E48" s="2" t="s">
        <v>95</v>
      </c>
      <c r="F48" s="2" t="s">
        <v>77</v>
      </c>
      <c r="G48" s="2">
        <v>61</v>
      </c>
      <c r="H48" s="2">
        <v>499</v>
      </c>
      <c r="I48" s="2">
        <v>30439</v>
      </c>
      <c r="J48" s="2">
        <v>27924</v>
      </c>
      <c r="K48" s="2"/>
      <c r="L48" s="2">
        <v>1</v>
      </c>
      <c r="M48" s="2">
        <v>5864</v>
      </c>
      <c r="N48" s="2">
        <v>32377</v>
      </c>
    </row>
    <row r="49" spans="1:14" x14ac:dyDescent="0.3">
      <c r="A49" s="3" t="s">
        <v>135</v>
      </c>
      <c r="B49" s="3" t="s">
        <v>126</v>
      </c>
      <c r="C49" s="3" t="s">
        <v>38</v>
      </c>
      <c r="D49" s="3" t="s">
        <v>24</v>
      </c>
      <c r="E49" s="3" t="s">
        <v>29</v>
      </c>
      <c r="F49" s="3" t="s">
        <v>19</v>
      </c>
      <c r="G49" s="3">
        <v>82</v>
      </c>
      <c r="H49" s="3">
        <v>9999</v>
      </c>
      <c r="I49" s="3"/>
      <c r="J49" s="3">
        <v>794542</v>
      </c>
      <c r="K49" s="3">
        <v>10.6</v>
      </c>
      <c r="L49" s="3">
        <v>3</v>
      </c>
      <c r="M49" s="3"/>
      <c r="N49" s="3">
        <v>742484</v>
      </c>
    </row>
    <row r="50" spans="1:14" x14ac:dyDescent="0.3">
      <c r="A50" s="2" t="s">
        <v>136</v>
      </c>
      <c r="B50" s="2" t="s">
        <v>74</v>
      </c>
      <c r="C50" s="2" t="s">
        <v>38</v>
      </c>
      <c r="D50" s="2" t="s">
        <v>28</v>
      </c>
      <c r="E50" s="2" t="s">
        <v>18</v>
      </c>
      <c r="F50" s="2" t="s">
        <v>39</v>
      </c>
      <c r="G50" s="2">
        <v>186</v>
      </c>
      <c r="H50" s="2">
        <v>499</v>
      </c>
      <c r="I50" s="2">
        <v>92814</v>
      </c>
      <c r="J50" s="2">
        <v>84573</v>
      </c>
      <c r="K50" s="2">
        <v>5.4</v>
      </c>
      <c r="L50" s="2">
        <v>9</v>
      </c>
      <c r="M50" s="2">
        <v>20216</v>
      </c>
      <c r="N50" s="2">
        <v>83008</v>
      </c>
    </row>
    <row r="51" spans="1:14" x14ac:dyDescent="0.3">
      <c r="A51" s="3" t="s">
        <v>137</v>
      </c>
      <c r="B51" s="3" t="s">
        <v>109</v>
      </c>
      <c r="C51" s="3" t="s">
        <v>138</v>
      </c>
      <c r="D51" s="3" t="s">
        <v>67</v>
      </c>
      <c r="E51" s="3" t="s">
        <v>139</v>
      </c>
      <c r="F51" s="3" t="s">
        <v>140</v>
      </c>
      <c r="G51" s="3">
        <v>30</v>
      </c>
      <c r="H51" s="3">
        <v>2499</v>
      </c>
      <c r="I51" s="3">
        <v>74970</v>
      </c>
      <c r="J51" s="3">
        <v>66649</v>
      </c>
      <c r="K51" s="3">
        <v>5.8</v>
      </c>
      <c r="L51" s="3">
        <v>1</v>
      </c>
      <c r="M51" s="3"/>
      <c r="N51" s="3">
        <v>82495</v>
      </c>
    </row>
    <row r="52" spans="1:14" x14ac:dyDescent="0.3">
      <c r="A52" s="2" t="s">
        <v>141</v>
      </c>
      <c r="B52" s="2" t="s">
        <v>142</v>
      </c>
      <c r="C52" s="2" t="s">
        <v>66</v>
      </c>
      <c r="D52" s="2" t="s">
        <v>134</v>
      </c>
      <c r="E52" s="2" t="s">
        <v>76</v>
      </c>
      <c r="F52" s="2" t="s">
        <v>107</v>
      </c>
      <c r="G52" s="2">
        <v>191</v>
      </c>
      <c r="H52" s="2">
        <v>499</v>
      </c>
      <c r="I52" s="2">
        <v>95309</v>
      </c>
      <c r="J52" s="2">
        <v>102908</v>
      </c>
      <c r="K52" s="2">
        <v>2.2999999999999998</v>
      </c>
      <c r="L52" s="2">
        <v>9</v>
      </c>
      <c r="M52" s="2">
        <v>33111</v>
      </c>
      <c r="N52" s="2">
        <v>91902</v>
      </c>
    </row>
    <row r="53" spans="1:14" x14ac:dyDescent="0.3">
      <c r="A53" s="3" t="s">
        <v>143</v>
      </c>
      <c r="B53" s="3" t="s">
        <v>126</v>
      </c>
      <c r="C53" s="3" t="s">
        <v>48</v>
      </c>
      <c r="D53" s="3" t="s">
        <v>21</v>
      </c>
      <c r="E53" s="3" t="s">
        <v>25</v>
      </c>
      <c r="F53" s="3" t="s">
        <v>57</v>
      </c>
      <c r="G53" s="3">
        <v>10</v>
      </c>
      <c r="H53" s="3">
        <v>2499</v>
      </c>
      <c r="I53" s="3">
        <v>24990</v>
      </c>
      <c r="J53" s="3">
        <v>24011</v>
      </c>
      <c r="K53" s="3">
        <v>5.8</v>
      </c>
      <c r="L53" s="3">
        <v>0</v>
      </c>
      <c r="M53" s="3">
        <v>8728</v>
      </c>
      <c r="N53" s="3">
        <v>27322</v>
      </c>
    </row>
    <row r="54" spans="1:14" x14ac:dyDescent="0.3">
      <c r="A54" s="2" t="s">
        <v>144</v>
      </c>
      <c r="B54" s="2" t="s">
        <v>126</v>
      </c>
      <c r="C54" s="2" t="s">
        <v>48</v>
      </c>
      <c r="D54" s="2" t="s">
        <v>24</v>
      </c>
      <c r="E54" s="2" t="s">
        <v>29</v>
      </c>
      <c r="F54" s="2" t="s">
        <v>39</v>
      </c>
      <c r="G54" s="2">
        <v>142</v>
      </c>
      <c r="H54" s="2">
        <v>499</v>
      </c>
      <c r="I54" s="2">
        <v>70858</v>
      </c>
      <c r="J54" s="2">
        <v>77958</v>
      </c>
      <c r="K54" s="2">
        <v>13.1</v>
      </c>
      <c r="L54" s="2">
        <v>7</v>
      </c>
      <c r="M54" s="2">
        <v>21752</v>
      </c>
      <c r="N54" s="2">
        <v>61776</v>
      </c>
    </row>
    <row r="55" spans="1:14" x14ac:dyDescent="0.3">
      <c r="A55" s="3" t="s">
        <v>145</v>
      </c>
      <c r="B55" s="3" t="s">
        <v>126</v>
      </c>
      <c r="C55" s="3" t="s">
        <v>48</v>
      </c>
      <c r="D55" s="3" t="s">
        <v>28</v>
      </c>
      <c r="E55" s="3" t="s">
        <v>46</v>
      </c>
      <c r="F55" s="3" t="s">
        <v>57</v>
      </c>
      <c r="G55" s="3">
        <v>32</v>
      </c>
      <c r="H55" s="3">
        <v>999</v>
      </c>
      <c r="I55" s="3">
        <v>31968</v>
      </c>
      <c r="J55" s="3">
        <v>28006</v>
      </c>
      <c r="K55" s="3">
        <v>1.2</v>
      </c>
      <c r="L55" s="3">
        <v>2</v>
      </c>
      <c r="M55" s="3">
        <v>10295</v>
      </c>
      <c r="N55" s="3">
        <v>28585</v>
      </c>
    </row>
    <row r="56" spans="1:14" x14ac:dyDescent="0.3">
      <c r="A56" s="2" t="s">
        <v>146</v>
      </c>
      <c r="B56" s="2" t="s">
        <v>126</v>
      </c>
      <c r="C56" s="2" t="s">
        <v>48</v>
      </c>
      <c r="D56" s="2" t="s">
        <v>45</v>
      </c>
      <c r="E56" s="2" t="s">
        <v>22</v>
      </c>
      <c r="F56" s="2" t="s">
        <v>26</v>
      </c>
      <c r="G56" s="2">
        <v>100</v>
      </c>
      <c r="H56" s="2">
        <v>1499</v>
      </c>
      <c r="I56" s="2">
        <v>149900</v>
      </c>
      <c r="J56" s="2">
        <v>163563</v>
      </c>
      <c r="K56" s="2">
        <v>9.9</v>
      </c>
      <c r="L56" s="2">
        <v>4</v>
      </c>
      <c r="M56" s="2">
        <v>40435</v>
      </c>
      <c r="N56" s="2">
        <v>153381</v>
      </c>
    </row>
    <row r="57" spans="1:14" x14ac:dyDescent="0.3">
      <c r="A57" s="3" t="s">
        <v>147</v>
      </c>
      <c r="B57" s="3" t="s">
        <v>126</v>
      </c>
      <c r="C57" s="3" t="s">
        <v>60</v>
      </c>
      <c r="D57" s="3" t="s">
        <v>17</v>
      </c>
      <c r="E57" s="3" t="s">
        <v>29</v>
      </c>
      <c r="F57" s="3" t="s">
        <v>26</v>
      </c>
      <c r="G57" s="3">
        <v>18</v>
      </c>
      <c r="H57" s="3">
        <v>1499</v>
      </c>
      <c r="I57" s="3">
        <v>26982</v>
      </c>
      <c r="J57" s="3">
        <v>27472</v>
      </c>
      <c r="K57" s="3">
        <v>1.8</v>
      </c>
      <c r="L57" s="3">
        <v>0</v>
      </c>
      <c r="M57" s="3">
        <v>5136</v>
      </c>
      <c r="N57" s="3">
        <v>23202</v>
      </c>
    </row>
    <row r="58" spans="1:14" x14ac:dyDescent="0.3">
      <c r="A58" s="2" t="s">
        <v>148</v>
      </c>
      <c r="B58" s="2" t="s">
        <v>126</v>
      </c>
      <c r="C58" s="2" t="s">
        <v>60</v>
      </c>
      <c r="D58" s="2" t="s">
        <v>21</v>
      </c>
      <c r="E58" s="2" t="s">
        <v>25</v>
      </c>
      <c r="F58" s="2" t="s">
        <v>26</v>
      </c>
      <c r="G58" s="2">
        <v>183</v>
      </c>
      <c r="H58" s="2">
        <v>24999</v>
      </c>
      <c r="I58" s="2">
        <v>4574817</v>
      </c>
      <c r="J58" s="2">
        <v>4974731</v>
      </c>
      <c r="K58" s="2">
        <v>6.8</v>
      </c>
      <c r="L58" s="2">
        <v>4</v>
      </c>
      <c r="M58" s="2">
        <v>1367030</v>
      </c>
      <c r="N58" s="2">
        <v>5215936</v>
      </c>
    </row>
    <row r="59" spans="1:14" x14ac:dyDescent="0.3">
      <c r="A59" s="3" t="s">
        <v>149</v>
      </c>
      <c r="B59" s="3" t="s">
        <v>126</v>
      </c>
      <c r="C59" s="3" t="s">
        <v>60</v>
      </c>
      <c r="D59" s="3" t="s">
        <v>24</v>
      </c>
      <c r="E59" s="3" t="s">
        <v>25</v>
      </c>
      <c r="F59" s="3" t="s">
        <v>61</v>
      </c>
      <c r="G59" s="3">
        <v>37</v>
      </c>
      <c r="H59" s="3">
        <v>1499</v>
      </c>
      <c r="I59" s="3">
        <v>55463</v>
      </c>
      <c r="J59" s="3">
        <v>48470</v>
      </c>
      <c r="K59" s="3">
        <v>13.5</v>
      </c>
      <c r="L59" s="3">
        <v>0</v>
      </c>
      <c r="M59" s="3">
        <v>10220</v>
      </c>
      <c r="N59" s="3">
        <v>48942</v>
      </c>
    </row>
    <row r="60" spans="1:14" x14ac:dyDescent="0.3">
      <c r="A60" s="2" t="s">
        <v>150</v>
      </c>
      <c r="B60" s="2" t="s">
        <v>126</v>
      </c>
      <c r="C60" s="2" t="s">
        <v>60</v>
      </c>
      <c r="D60" s="2" t="s">
        <v>28</v>
      </c>
      <c r="E60" s="2" t="s">
        <v>22</v>
      </c>
      <c r="F60" s="2" t="s">
        <v>61</v>
      </c>
      <c r="G60" s="2">
        <v>23</v>
      </c>
      <c r="H60" s="2">
        <v>999</v>
      </c>
      <c r="I60" s="2">
        <v>22977</v>
      </c>
      <c r="J60" s="2">
        <v>24358</v>
      </c>
      <c r="K60" s="2">
        <v>11.3</v>
      </c>
      <c r="L60" s="2">
        <v>1</v>
      </c>
      <c r="M60" s="2">
        <v>5106</v>
      </c>
      <c r="N60" s="2">
        <v>26015</v>
      </c>
    </row>
    <row r="61" spans="1:14" x14ac:dyDescent="0.3">
      <c r="A61" s="3" t="s">
        <v>151</v>
      </c>
      <c r="B61" s="3" t="s">
        <v>81</v>
      </c>
      <c r="C61" s="3" t="s">
        <v>82</v>
      </c>
      <c r="D61" s="3" t="s">
        <v>122</v>
      </c>
      <c r="E61" s="3" t="s">
        <v>76</v>
      </c>
      <c r="F61" s="3" t="s">
        <v>107</v>
      </c>
      <c r="G61" s="3">
        <v>166</v>
      </c>
      <c r="H61" s="3">
        <v>999</v>
      </c>
      <c r="I61" s="3">
        <v>165834</v>
      </c>
      <c r="J61" s="3">
        <v>183421</v>
      </c>
      <c r="K61" s="3">
        <v>7.2</v>
      </c>
      <c r="L61" s="3">
        <v>9</v>
      </c>
      <c r="M61" s="3">
        <v>29026</v>
      </c>
      <c r="N61" s="3">
        <v>148815</v>
      </c>
    </row>
    <row r="62" spans="1:14" x14ac:dyDescent="0.3">
      <c r="A62" s="2" t="s">
        <v>152</v>
      </c>
      <c r="B62" s="2" t="s">
        <v>79</v>
      </c>
      <c r="C62" s="2" t="s">
        <v>16</v>
      </c>
      <c r="D62" s="2" t="s">
        <v>17</v>
      </c>
      <c r="E62" s="2" t="s">
        <v>29</v>
      </c>
      <c r="F62" s="2" t="s">
        <v>61</v>
      </c>
      <c r="G62" s="2">
        <v>147</v>
      </c>
      <c r="H62" s="2">
        <v>4999</v>
      </c>
      <c r="I62" s="2">
        <v>734853</v>
      </c>
      <c r="J62" s="2">
        <v>769041</v>
      </c>
      <c r="K62" s="2">
        <v>2.1</v>
      </c>
      <c r="L62" s="2">
        <v>8</v>
      </c>
      <c r="M62" s="2">
        <v>234557</v>
      </c>
      <c r="N62" s="2">
        <v>743668</v>
      </c>
    </row>
    <row r="63" spans="1:14" x14ac:dyDescent="0.3">
      <c r="A63" s="3" t="s">
        <v>153</v>
      </c>
      <c r="B63" s="3" t="s">
        <v>79</v>
      </c>
      <c r="C63" s="3" t="s">
        <v>16</v>
      </c>
      <c r="D63" s="3" t="s">
        <v>21</v>
      </c>
      <c r="E63" s="3" t="s">
        <v>25</v>
      </c>
      <c r="F63" s="3" t="s">
        <v>19</v>
      </c>
      <c r="G63" s="3">
        <v>159</v>
      </c>
      <c r="H63" s="3">
        <v>24999</v>
      </c>
      <c r="I63" s="3">
        <v>3974841</v>
      </c>
      <c r="J63" s="3">
        <v>4762206</v>
      </c>
      <c r="K63" s="3">
        <v>9.1999999999999993</v>
      </c>
      <c r="L63" s="3">
        <v>7</v>
      </c>
      <c r="M63" s="3">
        <v>1055998</v>
      </c>
      <c r="N63" s="3">
        <v>3997630</v>
      </c>
    </row>
    <row r="64" spans="1:14" x14ac:dyDescent="0.3">
      <c r="A64" s="2" t="s">
        <v>154</v>
      </c>
      <c r="B64" s="2" t="s">
        <v>79</v>
      </c>
      <c r="C64" s="2" t="s">
        <v>16</v>
      </c>
      <c r="D64" s="2" t="s">
        <v>24</v>
      </c>
      <c r="E64" s="2" t="s">
        <v>22</v>
      </c>
      <c r="F64" s="2" t="s">
        <v>61</v>
      </c>
      <c r="G64" s="2">
        <v>63</v>
      </c>
      <c r="H64" s="2">
        <v>2499</v>
      </c>
      <c r="I64" s="2">
        <v>157437</v>
      </c>
      <c r="J64" s="2">
        <v>165021</v>
      </c>
      <c r="K64" s="2">
        <v>11.8</v>
      </c>
      <c r="L64" s="2">
        <v>2</v>
      </c>
      <c r="M64" s="2">
        <v>30493</v>
      </c>
      <c r="N64" s="2">
        <v>171074</v>
      </c>
    </row>
    <row r="65" spans="1:14" x14ac:dyDescent="0.3">
      <c r="A65" s="3" t="s">
        <v>155</v>
      </c>
      <c r="B65" s="3" t="s">
        <v>79</v>
      </c>
      <c r="C65" s="3" t="s">
        <v>16</v>
      </c>
      <c r="D65" s="3" t="s">
        <v>28</v>
      </c>
      <c r="E65" s="3" t="s">
        <v>25</v>
      </c>
      <c r="F65" s="3" t="s">
        <v>57</v>
      </c>
      <c r="G65" s="3">
        <v>63</v>
      </c>
      <c r="H65" s="3">
        <v>14999</v>
      </c>
      <c r="I65" s="3">
        <v>944937</v>
      </c>
      <c r="J65" s="3">
        <v>1098188</v>
      </c>
      <c r="K65" s="3">
        <v>12.1</v>
      </c>
      <c r="L65" s="3">
        <v>0</v>
      </c>
      <c r="M65" s="3">
        <v>309964</v>
      </c>
      <c r="N65" s="3">
        <v>1029872</v>
      </c>
    </row>
    <row r="66" spans="1:14" x14ac:dyDescent="0.3">
      <c r="A66" s="2" t="s">
        <v>156</v>
      </c>
      <c r="B66" s="2" t="s">
        <v>31</v>
      </c>
      <c r="C66" s="2" t="s">
        <v>52</v>
      </c>
      <c r="D66" s="2" t="s">
        <v>98</v>
      </c>
      <c r="E66" s="2" t="s">
        <v>118</v>
      </c>
      <c r="F66" s="2" t="s">
        <v>77</v>
      </c>
      <c r="G66" s="2">
        <v>160</v>
      </c>
      <c r="H66" s="2">
        <v>14999</v>
      </c>
      <c r="I66" s="2">
        <v>2399840</v>
      </c>
      <c r="J66" s="2">
        <v>2793460</v>
      </c>
      <c r="K66" s="2">
        <v>9.1</v>
      </c>
      <c r="L66" s="2">
        <v>11</v>
      </c>
      <c r="M66" s="2">
        <v>441963</v>
      </c>
      <c r="N66" s="2">
        <v>2033961</v>
      </c>
    </row>
    <row r="67" spans="1:14" x14ac:dyDescent="0.3">
      <c r="A67" s="3" t="s">
        <v>157</v>
      </c>
      <c r="B67" s="3" t="s">
        <v>158</v>
      </c>
      <c r="C67" s="3" t="s">
        <v>66</v>
      </c>
      <c r="D67" s="3" t="s">
        <v>159</v>
      </c>
      <c r="E67" s="3" t="s">
        <v>68</v>
      </c>
      <c r="F67" s="3" t="s">
        <v>35</v>
      </c>
      <c r="G67" s="3">
        <v>24</v>
      </c>
      <c r="H67" s="3">
        <v>2499</v>
      </c>
      <c r="I67" s="3">
        <v>59976</v>
      </c>
      <c r="J67" s="3">
        <v>70628</v>
      </c>
      <c r="K67" s="3">
        <v>6.6</v>
      </c>
      <c r="L67" s="3">
        <v>1</v>
      </c>
      <c r="M67" s="3">
        <v>14752</v>
      </c>
      <c r="N67" s="3">
        <v>51917</v>
      </c>
    </row>
    <row r="68" spans="1:14" x14ac:dyDescent="0.3">
      <c r="A68" s="2" t="s">
        <v>160</v>
      </c>
      <c r="B68" s="2" t="s">
        <v>161</v>
      </c>
      <c r="C68" s="2" t="s">
        <v>38</v>
      </c>
      <c r="D68" s="2" t="s">
        <v>21</v>
      </c>
      <c r="E68" s="2" t="s">
        <v>25</v>
      </c>
      <c r="F68" s="2" t="s">
        <v>19</v>
      </c>
      <c r="G68" s="2">
        <v>18</v>
      </c>
      <c r="H68" s="2">
        <v>2499</v>
      </c>
      <c r="I68" s="2">
        <v>44982</v>
      </c>
      <c r="J68" s="2">
        <v>44733</v>
      </c>
      <c r="K68" s="2">
        <v>6.1</v>
      </c>
      <c r="L68" s="2">
        <v>0</v>
      </c>
      <c r="M68" s="2">
        <v>6838</v>
      </c>
      <c r="N68" s="2">
        <v>40949</v>
      </c>
    </row>
    <row r="69" spans="1:14" x14ac:dyDescent="0.3">
      <c r="A69" s="3" t="s">
        <v>162</v>
      </c>
      <c r="B69" s="3" t="s">
        <v>63</v>
      </c>
      <c r="C69" s="3" t="s">
        <v>52</v>
      </c>
      <c r="D69" s="3" t="s">
        <v>94</v>
      </c>
      <c r="E69" s="3" t="s">
        <v>68</v>
      </c>
      <c r="F69" s="3" t="s">
        <v>69</v>
      </c>
      <c r="G69" s="3">
        <v>28</v>
      </c>
      <c r="H69" s="3">
        <v>499</v>
      </c>
      <c r="I69" s="3">
        <v>13972</v>
      </c>
      <c r="J69" s="3">
        <v>14433</v>
      </c>
      <c r="K69" s="3">
        <v>13.6</v>
      </c>
      <c r="L69" s="3">
        <v>1</v>
      </c>
      <c r="M69" s="3">
        <v>3495</v>
      </c>
      <c r="N69" s="3">
        <v>12595</v>
      </c>
    </row>
    <row r="70" spans="1:14" x14ac:dyDescent="0.3">
      <c r="A70" s="2" t="s">
        <v>163</v>
      </c>
      <c r="B70" s="2" t="s">
        <v>164</v>
      </c>
      <c r="C70" s="2" t="s">
        <v>32</v>
      </c>
      <c r="D70" s="2" t="s">
        <v>98</v>
      </c>
      <c r="E70" s="2" t="s">
        <v>106</v>
      </c>
      <c r="F70" s="2" t="s">
        <v>84</v>
      </c>
      <c r="G70" s="2">
        <v>61</v>
      </c>
      <c r="H70" s="2">
        <v>999</v>
      </c>
      <c r="I70" s="2">
        <v>60939</v>
      </c>
      <c r="J70" s="2">
        <v>62432</v>
      </c>
      <c r="K70" s="2">
        <v>2.2999999999999998</v>
      </c>
      <c r="L70" s="2">
        <v>1</v>
      </c>
      <c r="M70" s="2">
        <v>17862</v>
      </c>
      <c r="N70" s="2">
        <v>58885</v>
      </c>
    </row>
    <row r="71" spans="1:14" x14ac:dyDescent="0.3">
      <c r="A71" s="3" t="s">
        <v>165</v>
      </c>
      <c r="B71" s="3" t="s">
        <v>79</v>
      </c>
      <c r="C71" s="3" t="s">
        <v>38</v>
      </c>
      <c r="D71" s="3" t="s">
        <v>45</v>
      </c>
      <c r="E71" s="3" t="s">
        <v>22</v>
      </c>
      <c r="F71" s="3" t="s">
        <v>57</v>
      </c>
      <c r="G71" s="3">
        <v>173</v>
      </c>
      <c r="H71" s="3">
        <v>1499</v>
      </c>
      <c r="I71" s="3">
        <v>259327</v>
      </c>
      <c r="J71" s="3">
        <v>222357</v>
      </c>
      <c r="K71" s="3">
        <v>4.2</v>
      </c>
      <c r="L71" s="3">
        <v>7</v>
      </c>
      <c r="M71" s="3">
        <v>80820</v>
      </c>
      <c r="N71" s="3">
        <v>242163</v>
      </c>
    </row>
    <row r="72" spans="1:14" x14ac:dyDescent="0.3">
      <c r="A72" s="2" t="s">
        <v>166</v>
      </c>
      <c r="B72" s="2" t="s">
        <v>79</v>
      </c>
      <c r="C72" s="2" t="s">
        <v>48</v>
      </c>
      <c r="D72" s="2" t="s">
        <v>17</v>
      </c>
      <c r="E72" s="2" t="s">
        <v>29</v>
      </c>
      <c r="F72" s="2" t="s">
        <v>39</v>
      </c>
      <c r="G72" s="2">
        <v>12</v>
      </c>
      <c r="H72" s="2">
        <v>499</v>
      </c>
      <c r="I72" s="2">
        <v>5988</v>
      </c>
      <c r="J72" s="2">
        <v>6754</v>
      </c>
      <c r="K72" s="2">
        <v>2</v>
      </c>
      <c r="L72" s="2">
        <v>0</v>
      </c>
      <c r="M72" s="2">
        <v>1307</v>
      </c>
      <c r="N72" s="2">
        <v>5702</v>
      </c>
    </row>
    <row r="73" spans="1:14" x14ac:dyDescent="0.3">
      <c r="A73" s="3" t="s">
        <v>167</v>
      </c>
      <c r="B73" s="3" t="s">
        <v>74</v>
      </c>
      <c r="C73" s="3" t="s">
        <v>114</v>
      </c>
      <c r="D73" s="3" t="s">
        <v>111</v>
      </c>
      <c r="E73" s="3" t="s">
        <v>29</v>
      </c>
      <c r="F73" s="3" t="s">
        <v>61</v>
      </c>
      <c r="G73" s="3">
        <v>46</v>
      </c>
      <c r="H73" s="3">
        <v>999</v>
      </c>
      <c r="I73" s="3">
        <v>45954</v>
      </c>
      <c r="J73" s="3">
        <v>52080</v>
      </c>
      <c r="K73" s="3">
        <v>8.1999999999999993</v>
      </c>
      <c r="L73" s="3">
        <v>3</v>
      </c>
      <c r="M73" s="3">
        <v>7229</v>
      </c>
      <c r="N73" s="3">
        <v>47824</v>
      </c>
    </row>
    <row r="74" spans="1:14" x14ac:dyDescent="0.3">
      <c r="A74" s="2" t="s">
        <v>168</v>
      </c>
      <c r="B74" s="2" t="s">
        <v>79</v>
      </c>
      <c r="C74" s="2" t="s">
        <v>48</v>
      </c>
      <c r="D74" s="2" t="s">
        <v>24</v>
      </c>
      <c r="E74" s="2" t="s">
        <v>25</v>
      </c>
      <c r="F74" s="2" t="s">
        <v>26</v>
      </c>
      <c r="G74" s="2">
        <v>128</v>
      </c>
      <c r="H74" s="2">
        <v>2499</v>
      </c>
      <c r="I74" s="2">
        <v>319872</v>
      </c>
      <c r="J74" s="2">
        <v>289245</v>
      </c>
      <c r="K74" s="2">
        <v>2</v>
      </c>
      <c r="L74" s="2">
        <v>5</v>
      </c>
      <c r="M74" s="2">
        <v>91926</v>
      </c>
      <c r="N74" s="2">
        <v>292373</v>
      </c>
    </row>
    <row r="75" spans="1:14" x14ac:dyDescent="0.3">
      <c r="A75" s="3" t="s">
        <v>169</v>
      </c>
      <c r="B75" s="3" t="s">
        <v>79</v>
      </c>
      <c r="C75" s="3" t="s">
        <v>48</v>
      </c>
      <c r="D75" s="3" t="s">
        <v>28</v>
      </c>
      <c r="E75" s="3" t="s">
        <v>25</v>
      </c>
      <c r="F75" s="3" t="s">
        <v>61</v>
      </c>
      <c r="G75" s="3">
        <v>78</v>
      </c>
      <c r="H75" s="3">
        <v>24999</v>
      </c>
      <c r="I75" s="3">
        <v>1949922</v>
      </c>
      <c r="J75" s="3">
        <v>2246251</v>
      </c>
      <c r="K75" s="3">
        <v>1.8</v>
      </c>
      <c r="L75" s="3">
        <v>0</v>
      </c>
      <c r="M75" s="3">
        <v>355490</v>
      </c>
      <c r="N75" s="3">
        <v>1587091</v>
      </c>
    </row>
    <row r="76" spans="1:14" x14ac:dyDescent="0.3">
      <c r="A76" s="2" t="s">
        <v>170</v>
      </c>
      <c r="B76" s="2" t="s">
        <v>171</v>
      </c>
      <c r="C76" s="2" t="s">
        <v>93</v>
      </c>
      <c r="D76" s="2" t="s">
        <v>122</v>
      </c>
      <c r="E76" s="2" t="s">
        <v>172</v>
      </c>
      <c r="F76" s="2" t="s">
        <v>107</v>
      </c>
      <c r="G76" s="2">
        <v>164</v>
      </c>
      <c r="H76" s="2">
        <v>9999</v>
      </c>
      <c r="I76" s="2">
        <v>1639836</v>
      </c>
      <c r="J76" s="2">
        <v>1570985</v>
      </c>
      <c r="K76" s="2">
        <v>11.8</v>
      </c>
      <c r="L76" s="2">
        <v>13</v>
      </c>
      <c r="M76" s="2">
        <v>286212</v>
      </c>
      <c r="N76" s="2">
        <v>1857697</v>
      </c>
    </row>
    <row r="77" spans="1:14" x14ac:dyDescent="0.3">
      <c r="A77" s="3" t="s">
        <v>173</v>
      </c>
      <c r="B77" s="3" t="s">
        <v>92</v>
      </c>
      <c r="C77" s="3" t="s">
        <v>60</v>
      </c>
      <c r="D77" s="3" t="s">
        <v>17</v>
      </c>
      <c r="E77" s="3" t="s">
        <v>29</v>
      </c>
      <c r="F77" s="3" t="s">
        <v>57</v>
      </c>
      <c r="G77" s="3">
        <v>68</v>
      </c>
      <c r="H77" s="3">
        <v>14999</v>
      </c>
      <c r="I77" s="3">
        <v>1019932</v>
      </c>
      <c r="J77" s="3">
        <v>1207281</v>
      </c>
      <c r="K77" s="3">
        <v>3.1</v>
      </c>
      <c r="L77" s="3">
        <v>4</v>
      </c>
      <c r="M77" s="3">
        <v>162413</v>
      </c>
      <c r="N77" s="3">
        <v>1103122</v>
      </c>
    </row>
    <row r="78" spans="1:14" x14ac:dyDescent="0.3">
      <c r="A78" s="2" t="s">
        <v>174</v>
      </c>
      <c r="B78" s="2" t="s">
        <v>158</v>
      </c>
      <c r="C78" s="2" t="s">
        <v>60</v>
      </c>
      <c r="D78" s="2" t="s">
        <v>33</v>
      </c>
      <c r="E78" s="2" t="s">
        <v>95</v>
      </c>
      <c r="F78" s="2" t="s">
        <v>84</v>
      </c>
      <c r="G78" s="2">
        <v>96</v>
      </c>
      <c r="H78" s="2">
        <v>499</v>
      </c>
      <c r="I78" s="2">
        <v>47904</v>
      </c>
      <c r="J78" s="2">
        <v>40748</v>
      </c>
      <c r="K78" s="2">
        <v>1.2</v>
      </c>
      <c r="L78" s="2">
        <v>0</v>
      </c>
      <c r="M78" s="2">
        <v>15972</v>
      </c>
      <c r="N78" s="2">
        <v>49435</v>
      </c>
    </row>
    <row r="79" spans="1:14" x14ac:dyDescent="0.3">
      <c r="A79" s="3" t="s">
        <v>175</v>
      </c>
      <c r="B79" s="3" t="s">
        <v>79</v>
      </c>
      <c r="C79" s="3" t="s">
        <v>60</v>
      </c>
      <c r="D79" s="3" t="s">
        <v>24</v>
      </c>
      <c r="E79" s="3" t="s">
        <v>18</v>
      </c>
      <c r="F79" s="3" t="s">
        <v>19</v>
      </c>
      <c r="G79" s="3">
        <v>76</v>
      </c>
      <c r="H79" s="3">
        <v>9999</v>
      </c>
      <c r="I79" s="3">
        <v>759924</v>
      </c>
      <c r="J79" s="3">
        <v>776452</v>
      </c>
      <c r="K79" s="3">
        <v>14.2</v>
      </c>
      <c r="L79" s="3">
        <v>4</v>
      </c>
      <c r="M79" s="3">
        <v>206519</v>
      </c>
      <c r="N79" s="3">
        <v>666452</v>
      </c>
    </row>
    <row r="80" spans="1:14" x14ac:dyDescent="0.3">
      <c r="A80" s="2" t="s">
        <v>176</v>
      </c>
      <c r="B80" s="2" t="s">
        <v>92</v>
      </c>
      <c r="C80" s="2" t="s">
        <v>66</v>
      </c>
      <c r="D80" s="2" t="s">
        <v>177</v>
      </c>
      <c r="E80" s="2" t="s">
        <v>172</v>
      </c>
      <c r="F80" s="2" t="s">
        <v>178</v>
      </c>
      <c r="G80" s="2">
        <v>85</v>
      </c>
      <c r="H80" s="2">
        <v>4999</v>
      </c>
      <c r="I80" s="2">
        <v>424915</v>
      </c>
      <c r="J80" s="2">
        <v>488152</v>
      </c>
      <c r="K80" s="2">
        <v>5.4</v>
      </c>
      <c r="L80" s="2">
        <v>2</v>
      </c>
      <c r="M80" s="2">
        <v>78544</v>
      </c>
      <c r="N80" s="2">
        <v>354302</v>
      </c>
    </row>
    <row r="81" spans="1:14" x14ac:dyDescent="0.3">
      <c r="A81" s="3" t="s">
        <v>179</v>
      </c>
      <c r="B81" s="3" t="s">
        <v>86</v>
      </c>
      <c r="C81" s="3" t="s">
        <v>60</v>
      </c>
      <c r="D81" s="3" t="s">
        <v>45</v>
      </c>
      <c r="E81" s="3" t="s">
        <v>46</v>
      </c>
      <c r="F81" s="3" t="s">
        <v>26</v>
      </c>
      <c r="G81" s="3">
        <v>153</v>
      </c>
      <c r="H81" s="3">
        <v>24999</v>
      </c>
      <c r="I81" s="3">
        <v>3824847</v>
      </c>
      <c r="J81" s="3">
        <v>4032504</v>
      </c>
      <c r="K81" s="3">
        <v>10.3</v>
      </c>
      <c r="L81" s="3">
        <v>9</v>
      </c>
      <c r="M81" s="3">
        <v>740135</v>
      </c>
      <c r="N81" s="3">
        <v>3203255</v>
      </c>
    </row>
    <row r="82" spans="1:14" x14ac:dyDescent="0.3">
      <c r="A82" s="2" t="s">
        <v>180</v>
      </c>
      <c r="B82" s="2" t="s">
        <v>105</v>
      </c>
      <c r="C82" s="2" t="s">
        <v>16</v>
      </c>
      <c r="D82" s="2" t="s">
        <v>17</v>
      </c>
      <c r="E82" s="2" t="s">
        <v>46</v>
      </c>
      <c r="F82" s="2" t="s">
        <v>19</v>
      </c>
      <c r="G82" s="2">
        <v>54</v>
      </c>
      <c r="H82" s="2">
        <v>2499</v>
      </c>
      <c r="I82" s="2">
        <v>134946</v>
      </c>
      <c r="J82" s="2">
        <v>140884</v>
      </c>
      <c r="K82" s="2">
        <v>9.9</v>
      </c>
      <c r="L82" s="2">
        <v>0</v>
      </c>
      <c r="M82" s="2">
        <v>24172</v>
      </c>
      <c r="N82" s="2">
        <v>133111</v>
      </c>
    </row>
    <row r="83" spans="1:14" x14ac:dyDescent="0.3">
      <c r="A83" s="3" t="s">
        <v>181</v>
      </c>
      <c r="B83" s="3" t="s">
        <v>105</v>
      </c>
      <c r="C83" s="3" t="s">
        <v>16</v>
      </c>
      <c r="D83" s="3" t="s">
        <v>21</v>
      </c>
      <c r="E83" s="3" t="s">
        <v>22</v>
      </c>
      <c r="F83" s="3" t="s">
        <v>26</v>
      </c>
      <c r="G83" s="3">
        <v>26</v>
      </c>
      <c r="H83" s="3">
        <v>2499</v>
      </c>
      <c r="I83" s="3">
        <v>64974</v>
      </c>
      <c r="J83" s="3">
        <v>67301</v>
      </c>
      <c r="K83" s="3">
        <v>9.5</v>
      </c>
      <c r="L83" s="3">
        <v>1</v>
      </c>
      <c r="M83" s="3">
        <v>21608</v>
      </c>
      <c r="N83" s="3">
        <v>72203</v>
      </c>
    </row>
    <row r="84" spans="1:14" x14ac:dyDescent="0.3">
      <c r="A84" s="2" t="s">
        <v>182</v>
      </c>
      <c r="B84" s="2" t="s">
        <v>183</v>
      </c>
      <c r="C84" s="2" t="s">
        <v>184</v>
      </c>
      <c r="D84" s="2" t="s">
        <v>134</v>
      </c>
      <c r="E84" s="2" t="s">
        <v>185</v>
      </c>
      <c r="F84" s="2" t="s">
        <v>84</v>
      </c>
      <c r="G84" s="2">
        <v>36</v>
      </c>
      <c r="H84" s="2">
        <v>9999</v>
      </c>
      <c r="I84" s="2">
        <v>359964</v>
      </c>
      <c r="J84" s="2">
        <v>323446</v>
      </c>
      <c r="K84" s="2">
        <v>12.5</v>
      </c>
      <c r="L84" s="2">
        <v>1</v>
      </c>
      <c r="M84" s="2">
        <v>87539</v>
      </c>
      <c r="N84" s="2">
        <v>296256</v>
      </c>
    </row>
    <row r="85" spans="1:14" x14ac:dyDescent="0.3">
      <c r="A85" s="3" t="s">
        <v>186</v>
      </c>
      <c r="B85" s="3" t="s">
        <v>187</v>
      </c>
      <c r="C85" s="3" t="s">
        <v>16</v>
      </c>
      <c r="D85" s="3" t="s">
        <v>28</v>
      </c>
      <c r="E85" s="3" t="s">
        <v>29</v>
      </c>
      <c r="F85" s="3" t="s">
        <v>19</v>
      </c>
      <c r="G85" s="3">
        <v>85</v>
      </c>
      <c r="H85" s="3">
        <v>1499</v>
      </c>
      <c r="I85" s="3">
        <v>127415</v>
      </c>
      <c r="J85" s="3">
        <v>143915</v>
      </c>
      <c r="K85" s="3">
        <v>6.7</v>
      </c>
      <c r="L85" s="3">
        <v>3</v>
      </c>
      <c r="M85" s="3">
        <v>22101</v>
      </c>
      <c r="N85" s="3">
        <v>128538</v>
      </c>
    </row>
    <row r="86" spans="1:14" x14ac:dyDescent="0.3">
      <c r="A86" s="2" t="s">
        <v>188</v>
      </c>
      <c r="B86" s="2" t="s">
        <v>74</v>
      </c>
      <c r="C86" s="2" t="s">
        <v>110</v>
      </c>
      <c r="D86" s="2" t="s">
        <v>33</v>
      </c>
      <c r="E86" s="2" t="s">
        <v>189</v>
      </c>
      <c r="F86" s="2" t="s">
        <v>190</v>
      </c>
      <c r="G86" s="2">
        <v>122</v>
      </c>
      <c r="H86" s="2">
        <v>999</v>
      </c>
      <c r="I86" s="2">
        <v>121878</v>
      </c>
      <c r="J86" s="2">
        <v>121901</v>
      </c>
      <c r="K86" s="2">
        <v>3.2</v>
      </c>
      <c r="L86" s="2">
        <v>2</v>
      </c>
      <c r="M86" s="2">
        <v>34617</v>
      </c>
      <c r="N86" s="2">
        <v>131111</v>
      </c>
    </row>
    <row r="87" spans="1:14" x14ac:dyDescent="0.3">
      <c r="A87" s="3" t="s">
        <v>191</v>
      </c>
      <c r="B87" s="3" t="s">
        <v>105</v>
      </c>
      <c r="C87" s="3" t="s">
        <v>38</v>
      </c>
      <c r="D87" s="3" t="s">
        <v>17</v>
      </c>
      <c r="E87" s="3" t="s">
        <v>22</v>
      </c>
      <c r="F87" s="3" t="s">
        <v>61</v>
      </c>
      <c r="G87" s="3">
        <v>40</v>
      </c>
      <c r="H87" s="3">
        <v>4999</v>
      </c>
      <c r="I87" s="3">
        <v>199960</v>
      </c>
      <c r="J87" s="3">
        <v>219686</v>
      </c>
      <c r="K87" s="3">
        <v>0.9</v>
      </c>
      <c r="L87" s="3">
        <v>1</v>
      </c>
      <c r="M87" s="3">
        <v>44326</v>
      </c>
      <c r="N87" s="3">
        <v>202326</v>
      </c>
    </row>
    <row r="88" spans="1:14" x14ac:dyDescent="0.3">
      <c r="A88" s="2" t="s">
        <v>192</v>
      </c>
      <c r="B88" s="2" t="s">
        <v>105</v>
      </c>
      <c r="C88" s="2" t="s">
        <v>38</v>
      </c>
      <c r="D88" s="2" t="s">
        <v>21</v>
      </c>
      <c r="E88" s="2" t="s">
        <v>46</v>
      </c>
      <c r="F88" s="2" t="s">
        <v>19</v>
      </c>
      <c r="G88" s="2">
        <v>110</v>
      </c>
      <c r="H88" s="2">
        <v>2499</v>
      </c>
      <c r="I88" s="2">
        <v>274890</v>
      </c>
      <c r="J88" s="2">
        <v>328379</v>
      </c>
      <c r="K88" s="2">
        <v>5.2</v>
      </c>
      <c r="L88" s="2">
        <v>5</v>
      </c>
      <c r="M88" s="2">
        <v>42726</v>
      </c>
      <c r="N88" s="2">
        <v>248981</v>
      </c>
    </row>
    <row r="89" spans="1:14" x14ac:dyDescent="0.3">
      <c r="A89" s="3" t="s">
        <v>193</v>
      </c>
      <c r="B89" s="3" t="s">
        <v>109</v>
      </c>
      <c r="C89" s="3" t="s">
        <v>194</v>
      </c>
      <c r="D89" s="3" t="s">
        <v>117</v>
      </c>
      <c r="E89" s="3" t="s">
        <v>99</v>
      </c>
      <c r="F89" s="3" t="s">
        <v>112</v>
      </c>
      <c r="G89" s="3">
        <v>172</v>
      </c>
      <c r="H89" s="3">
        <v>499</v>
      </c>
      <c r="I89" s="3">
        <v>85828</v>
      </c>
      <c r="J89" s="3">
        <v>100793</v>
      </c>
      <c r="K89" s="3">
        <v>2.2999999999999998</v>
      </c>
      <c r="L89" s="3">
        <v>4</v>
      </c>
      <c r="M89" s="3">
        <v>17783</v>
      </c>
      <c r="N89" s="3">
        <v>91652</v>
      </c>
    </row>
    <row r="90" spans="1:14" x14ac:dyDescent="0.3">
      <c r="A90" s="2" t="s">
        <v>195</v>
      </c>
      <c r="B90" s="2" t="s">
        <v>105</v>
      </c>
      <c r="C90" s="2" t="s">
        <v>38</v>
      </c>
      <c r="D90" s="2" t="s">
        <v>28</v>
      </c>
      <c r="E90" s="2" t="s">
        <v>29</v>
      </c>
      <c r="F90" s="2" t="s">
        <v>61</v>
      </c>
      <c r="G90" s="2">
        <v>49</v>
      </c>
      <c r="H90" s="2">
        <v>14999</v>
      </c>
      <c r="I90" s="2">
        <v>734951</v>
      </c>
      <c r="J90" s="2">
        <v>702628</v>
      </c>
      <c r="K90" s="2">
        <v>4.9000000000000004</v>
      </c>
      <c r="L90" s="2">
        <v>3</v>
      </c>
      <c r="M90" s="2">
        <v>192345</v>
      </c>
      <c r="N90" s="2">
        <v>823618</v>
      </c>
    </row>
    <row r="91" spans="1:14" x14ac:dyDescent="0.3">
      <c r="A91" s="3" t="s">
        <v>196</v>
      </c>
      <c r="B91" s="3" t="s">
        <v>105</v>
      </c>
      <c r="C91" s="3" t="s">
        <v>38</v>
      </c>
      <c r="D91" s="3" t="s">
        <v>45</v>
      </c>
      <c r="E91" s="3" t="s">
        <v>22</v>
      </c>
      <c r="F91" s="3" t="s">
        <v>19</v>
      </c>
      <c r="G91" s="3">
        <v>11</v>
      </c>
      <c r="H91" s="3">
        <v>999</v>
      </c>
      <c r="I91" s="3">
        <v>10989</v>
      </c>
      <c r="J91" s="3">
        <v>10456</v>
      </c>
      <c r="K91" s="3">
        <v>11.2</v>
      </c>
      <c r="L91" s="3">
        <v>0</v>
      </c>
      <c r="M91" s="3"/>
      <c r="N91" s="3">
        <v>11117</v>
      </c>
    </row>
    <row r="92" spans="1:14" x14ac:dyDescent="0.3">
      <c r="A92" s="2" t="s">
        <v>197</v>
      </c>
      <c r="B92" s="2" t="s">
        <v>81</v>
      </c>
      <c r="C92" s="2" t="s">
        <v>184</v>
      </c>
      <c r="D92" s="2" t="s">
        <v>33</v>
      </c>
      <c r="E92" s="2" t="s">
        <v>106</v>
      </c>
      <c r="F92" s="2" t="s">
        <v>103</v>
      </c>
      <c r="G92" s="2">
        <v>18</v>
      </c>
      <c r="H92" s="2">
        <v>9999</v>
      </c>
      <c r="I92" s="2">
        <v>179982</v>
      </c>
      <c r="J92" s="2">
        <v>153479</v>
      </c>
      <c r="K92" s="2">
        <v>13.6</v>
      </c>
      <c r="L92" s="2">
        <v>0</v>
      </c>
      <c r="M92" s="2">
        <v>36006</v>
      </c>
      <c r="N92" s="2">
        <v>155941</v>
      </c>
    </row>
    <row r="93" spans="1:14" x14ac:dyDescent="0.3">
      <c r="A93" s="3" t="s">
        <v>198</v>
      </c>
      <c r="B93" s="3" t="s">
        <v>105</v>
      </c>
      <c r="C93" s="3" t="s">
        <v>48</v>
      </c>
      <c r="D93" s="3" t="s">
        <v>21</v>
      </c>
      <c r="E93" s="3" t="s">
        <v>29</v>
      </c>
      <c r="F93" s="3" t="s">
        <v>26</v>
      </c>
      <c r="G93" s="3">
        <v>186</v>
      </c>
      <c r="H93" s="3">
        <v>4999</v>
      </c>
      <c r="I93" s="3">
        <v>929814</v>
      </c>
      <c r="J93" s="3">
        <v>949661</v>
      </c>
      <c r="K93" s="3">
        <v>11.7</v>
      </c>
      <c r="L93" s="3">
        <v>14</v>
      </c>
      <c r="M93" s="3">
        <v>304505</v>
      </c>
      <c r="N93" s="3">
        <v>827093</v>
      </c>
    </row>
    <row r="94" spans="1:14" x14ac:dyDescent="0.3">
      <c r="A94" s="2" t="s">
        <v>199</v>
      </c>
      <c r="B94" s="2" t="s">
        <v>37</v>
      </c>
      <c r="C94" s="2" t="s">
        <v>82</v>
      </c>
      <c r="D94" s="2" t="s">
        <v>177</v>
      </c>
      <c r="E94" s="2" t="s">
        <v>53</v>
      </c>
      <c r="F94" s="2" t="s">
        <v>77</v>
      </c>
      <c r="G94" s="2">
        <v>61</v>
      </c>
      <c r="H94" s="2">
        <v>24999</v>
      </c>
      <c r="I94" s="2">
        <v>1524939</v>
      </c>
      <c r="J94" s="2">
        <v>1373236</v>
      </c>
      <c r="K94" s="2">
        <v>3.4</v>
      </c>
      <c r="L94" s="2">
        <v>4</v>
      </c>
      <c r="M94" s="2">
        <v>477813</v>
      </c>
      <c r="N94" s="2">
        <v>1722042</v>
      </c>
    </row>
    <row r="95" spans="1:14" x14ac:dyDescent="0.3">
      <c r="A95" s="3" t="s">
        <v>200</v>
      </c>
      <c r="B95" s="3" t="s">
        <v>105</v>
      </c>
      <c r="C95" s="3" t="s">
        <v>48</v>
      </c>
      <c r="D95" s="3" t="s">
        <v>28</v>
      </c>
      <c r="E95" s="3" t="s">
        <v>18</v>
      </c>
      <c r="F95" s="3" t="s">
        <v>57</v>
      </c>
      <c r="G95" s="3">
        <v>122</v>
      </c>
      <c r="H95" s="3">
        <v>14999</v>
      </c>
      <c r="I95" s="3">
        <v>1829878</v>
      </c>
      <c r="J95" s="3">
        <v>1800675</v>
      </c>
      <c r="K95" s="3">
        <v>4.0999999999999996</v>
      </c>
      <c r="L95" s="3">
        <v>8</v>
      </c>
      <c r="M95" s="3">
        <v>299818</v>
      </c>
      <c r="N95" s="3">
        <v>1511068</v>
      </c>
    </row>
    <row r="96" spans="1:14" x14ac:dyDescent="0.3">
      <c r="A96" s="2" t="s">
        <v>201</v>
      </c>
      <c r="B96" s="2" t="s">
        <v>183</v>
      </c>
      <c r="C96" s="2" t="s">
        <v>60</v>
      </c>
      <c r="D96" s="2" t="s">
        <v>83</v>
      </c>
      <c r="E96" s="2" t="s">
        <v>118</v>
      </c>
      <c r="F96" s="2" t="s">
        <v>112</v>
      </c>
      <c r="G96" s="2">
        <v>49</v>
      </c>
      <c r="H96" s="2">
        <v>2499</v>
      </c>
      <c r="I96" s="2">
        <v>122451</v>
      </c>
      <c r="J96" s="2">
        <v>114363</v>
      </c>
      <c r="K96" s="2">
        <v>0.6</v>
      </c>
      <c r="L96" s="2">
        <v>3</v>
      </c>
      <c r="M96" s="2">
        <v>33056</v>
      </c>
      <c r="N96" s="2">
        <v>126360</v>
      </c>
    </row>
    <row r="97" spans="1:14" x14ac:dyDescent="0.3">
      <c r="A97" s="3" t="s">
        <v>202</v>
      </c>
      <c r="B97" s="3" t="s">
        <v>105</v>
      </c>
      <c r="C97" s="3" t="s">
        <v>60</v>
      </c>
      <c r="D97" s="3" t="s">
        <v>17</v>
      </c>
      <c r="E97" s="3" t="s">
        <v>25</v>
      </c>
      <c r="F97" s="3" t="s">
        <v>61</v>
      </c>
      <c r="G97" s="3">
        <v>176</v>
      </c>
      <c r="H97" s="3">
        <v>9999</v>
      </c>
      <c r="I97" s="3">
        <v>1759824</v>
      </c>
      <c r="J97" s="3">
        <v>1506115</v>
      </c>
      <c r="K97" s="3">
        <v>14.8</v>
      </c>
      <c r="L97" s="3">
        <v>6</v>
      </c>
      <c r="M97" s="3">
        <v>555309</v>
      </c>
      <c r="N97" s="3">
        <v>1423353</v>
      </c>
    </row>
    <row r="98" spans="1:14" x14ac:dyDescent="0.3">
      <c r="A98" s="2" t="s">
        <v>203</v>
      </c>
      <c r="B98" s="2" t="s">
        <v>105</v>
      </c>
      <c r="C98" s="2" t="s">
        <v>60</v>
      </c>
      <c r="D98" s="2" t="s">
        <v>21</v>
      </c>
      <c r="E98" s="2" t="s">
        <v>22</v>
      </c>
      <c r="F98" s="2" t="s">
        <v>39</v>
      </c>
      <c r="G98" s="2">
        <v>168</v>
      </c>
      <c r="H98" s="2">
        <v>14999</v>
      </c>
      <c r="I98" s="2">
        <v>2519832</v>
      </c>
      <c r="J98" s="2">
        <v>2487048</v>
      </c>
      <c r="K98" s="2">
        <v>12.8</v>
      </c>
      <c r="L98" s="2">
        <v>6</v>
      </c>
      <c r="M98" s="2">
        <v>696573</v>
      </c>
      <c r="N98" s="2">
        <v>2072114</v>
      </c>
    </row>
    <row r="99" spans="1:14" x14ac:dyDescent="0.3">
      <c r="A99" s="3" t="s">
        <v>204</v>
      </c>
      <c r="B99" s="3" t="s">
        <v>105</v>
      </c>
      <c r="C99" s="3" t="s">
        <v>60</v>
      </c>
      <c r="D99" s="3" t="s">
        <v>24</v>
      </c>
      <c r="E99" s="3" t="s">
        <v>29</v>
      </c>
      <c r="F99" s="3" t="s">
        <v>26</v>
      </c>
      <c r="G99" s="3">
        <v>179</v>
      </c>
      <c r="H99" s="3">
        <v>9999</v>
      </c>
      <c r="I99" s="3">
        <v>1789821</v>
      </c>
      <c r="J99" s="3">
        <v>2044599</v>
      </c>
      <c r="K99" s="3">
        <v>12.3</v>
      </c>
      <c r="L99" s="3">
        <v>6</v>
      </c>
      <c r="M99" s="3">
        <v>307994</v>
      </c>
      <c r="N99" s="3">
        <v>1627437</v>
      </c>
    </row>
    <row r="100" spans="1:14" x14ac:dyDescent="0.3">
      <c r="A100" s="2" t="s">
        <v>205</v>
      </c>
      <c r="B100" s="2" t="s">
        <v>105</v>
      </c>
      <c r="C100" s="2" t="s">
        <v>60</v>
      </c>
      <c r="D100" s="2" t="s">
        <v>28</v>
      </c>
      <c r="E100" s="2" t="s">
        <v>18</v>
      </c>
      <c r="F100" s="2" t="s">
        <v>61</v>
      </c>
      <c r="G100" s="2">
        <v>166</v>
      </c>
      <c r="H100" s="2">
        <v>4999</v>
      </c>
      <c r="I100" s="2">
        <v>829834</v>
      </c>
      <c r="J100" s="2">
        <v>767096</v>
      </c>
      <c r="K100" s="2">
        <v>8.1</v>
      </c>
      <c r="L100" s="2">
        <v>13</v>
      </c>
      <c r="M100" s="2">
        <v>146239</v>
      </c>
      <c r="N100" s="2">
        <v>879098</v>
      </c>
    </row>
    <row r="101" spans="1:14" x14ac:dyDescent="0.3">
      <c r="A101" s="3" t="s">
        <v>206</v>
      </c>
      <c r="B101" s="3" t="s">
        <v>105</v>
      </c>
      <c r="C101" s="3" t="s">
        <v>60</v>
      </c>
      <c r="D101" s="3" t="s">
        <v>45</v>
      </c>
      <c r="E101" s="3" t="s">
        <v>22</v>
      </c>
      <c r="F101" s="3" t="s">
        <v>61</v>
      </c>
      <c r="G101" s="3">
        <v>33</v>
      </c>
      <c r="H101" s="3">
        <v>499</v>
      </c>
      <c r="I101" s="3">
        <v>16467</v>
      </c>
      <c r="J101" s="3">
        <v>14553</v>
      </c>
      <c r="K101" s="3">
        <v>4.7</v>
      </c>
      <c r="L101" s="3">
        <v>2</v>
      </c>
      <c r="M101" s="3">
        <v>5737</v>
      </c>
      <c r="N101" s="3">
        <v>18302</v>
      </c>
    </row>
    <row r="102" spans="1:14" x14ac:dyDescent="0.3">
      <c r="A102" s="2" t="s">
        <v>207</v>
      </c>
      <c r="B102" s="2" t="s">
        <v>59</v>
      </c>
      <c r="C102" s="2" t="s">
        <v>75</v>
      </c>
      <c r="D102" s="2" t="s">
        <v>45</v>
      </c>
      <c r="E102" s="2" t="s">
        <v>99</v>
      </c>
      <c r="F102" s="2" t="s">
        <v>88</v>
      </c>
      <c r="G102" s="2">
        <v>23</v>
      </c>
      <c r="H102" s="2">
        <v>1499</v>
      </c>
      <c r="I102" s="2">
        <v>34477</v>
      </c>
      <c r="J102" s="2">
        <v>30307</v>
      </c>
      <c r="K102" s="2">
        <v>12.4</v>
      </c>
      <c r="L102" s="2">
        <v>0</v>
      </c>
      <c r="M102" s="2">
        <v>9788</v>
      </c>
      <c r="N102" s="2">
        <v>28703</v>
      </c>
    </row>
    <row r="103" spans="1:14" x14ac:dyDescent="0.3">
      <c r="A103" s="3" t="s">
        <v>208</v>
      </c>
      <c r="B103" s="3" t="s">
        <v>41</v>
      </c>
      <c r="C103" s="3" t="s">
        <v>16</v>
      </c>
      <c r="D103" s="3" t="s">
        <v>21</v>
      </c>
      <c r="E103" s="3" t="s">
        <v>29</v>
      </c>
      <c r="F103" s="3" t="s">
        <v>39</v>
      </c>
      <c r="G103" s="3">
        <v>58</v>
      </c>
      <c r="H103" s="3">
        <v>1499</v>
      </c>
      <c r="I103" s="3">
        <v>86942</v>
      </c>
      <c r="J103" s="3">
        <v>90511</v>
      </c>
      <c r="K103" s="3">
        <v>0.2</v>
      </c>
      <c r="L103" s="3">
        <v>4</v>
      </c>
      <c r="M103" s="3">
        <v>16962</v>
      </c>
      <c r="N103" s="3">
        <v>74920</v>
      </c>
    </row>
    <row r="104" spans="1:14" x14ac:dyDescent="0.3">
      <c r="A104" s="2" t="s">
        <v>209</v>
      </c>
      <c r="B104" s="2" t="s">
        <v>41</v>
      </c>
      <c r="C104" s="2" t="s">
        <v>16</v>
      </c>
      <c r="D104" s="2" t="s">
        <v>24</v>
      </c>
      <c r="E104" s="2" t="s">
        <v>46</v>
      </c>
      <c r="F104" s="2" t="s">
        <v>61</v>
      </c>
      <c r="G104" s="2">
        <v>99</v>
      </c>
      <c r="H104" s="2">
        <v>2499</v>
      </c>
      <c r="I104" s="2">
        <v>247401</v>
      </c>
      <c r="J104" s="2">
        <v>287473</v>
      </c>
      <c r="K104" s="2">
        <v>11.4</v>
      </c>
      <c r="L104" s="2">
        <v>5</v>
      </c>
      <c r="M104" s="2">
        <v>57649</v>
      </c>
      <c r="N104" s="2">
        <v>272704</v>
      </c>
    </row>
    <row r="105" spans="1:14" x14ac:dyDescent="0.3">
      <c r="A105" s="3" t="s">
        <v>210</v>
      </c>
      <c r="B105" s="3" t="s">
        <v>211</v>
      </c>
      <c r="C105" s="3" t="s">
        <v>32</v>
      </c>
      <c r="D105" s="3" t="s">
        <v>117</v>
      </c>
      <c r="E105" s="3" t="s">
        <v>172</v>
      </c>
      <c r="F105" s="3" t="s">
        <v>190</v>
      </c>
      <c r="G105" s="3">
        <v>86</v>
      </c>
      <c r="H105" s="3">
        <v>499</v>
      </c>
      <c r="I105" s="3">
        <v>42914</v>
      </c>
      <c r="J105" s="3">
        <v>38828</v>
      </c>
      <c r="K105" s="3">
        <v>0.8</v>
      </c>
      <c r="L105" s="3">
        <v>1</v>
      </c>
      <c r="M105" s="3">
        <v>11523</v>
      </c>
      <c r="N105" s="3">
        <v>44479</v>
      </c>
    </row>
    <row r="106" spans="1:14" x14ac:dyDescent="0.3">
      <c r="A106" s="2" t="s">
        <v>212</v>
      </c>
      <c r="B106" s="2" t="s">
        <v>41</v>
      </c>
      <c r="C106" s="2" t="s">
        <v>16</v>
      </c>
      <c r="D106" s="2" t="s">
        <v>45</v>
      </c>
      <c r="E106" s="2" t="s">
        <v>25</v>
      </c>
      <c r="F106" s="2" t="s">
        <v>39</v>
      </c>
      <c r="G106" s="2">
        <v>183</v>
      </c>
      <c r="H106" s="2">
        <v>4999</v>
      </c>
      <c r="I106" s="2">
        <v>914817</v>
      </c>
      <c r="J106" s="2">
        <v>967611</v>
      </c>
      <c r="K106" s="2"/>
      <c r="L106" s="2">
        <v>3</v>
      </c>
      <c r="M106" s="2">
        <v>183676</v>
      </c>
      <c r="N106" s="2">
        <v>927176</v>
      </c>
    </row>
    <row r="107" spans="1:14" x14ac:dyDescent="0.3">
      <c r="A107" s="3" t="s">
        <v>213</v>
      </c>
      <c r="B107" s="3" t="s">
        <v>41</v>
      </c>
      <c r="C107" s="3" t="s">
        <v>38</v>
      </c>
      <c r="D107" s="3" t="s">
        <v>17</v>
      </c>
      <c r="E107" s="3" t="s">
        <v>18</v>
      </c>
      <c r="F107" s="3" t="s">
        <v>61</v>
      </c>
      <c r="G107" s="3">
        <v>75</v>
      </c>
      <c r="H107" s="3">
        <v>9999</v>
      </c>
      <c r="I107" s="3">
        <v>749925</v>
      </c>
      <c r="J107" s="3">
        <v>871110</v>
      </c>
      <c r="K107" s="3">
        <v>13.2</v>
      </c>
      <c r="L107" s="3">
        <v>2</v>
      </c>
      <c r="M107" s="3">
        <v>242217</v>
      </c>
      <c r="N107" s="3">
        <v>786911</v>
      </c>
    </row>
    <row r="108" spans="1:14" x14ac:dyDescent="0.3">
      <c r="A108" s="2" t="s">
        <v>214</v>
      </c>
      <c r="B108" s="2" t="s">
        <v>41</v>
      </c>
      <c r="C108" s="2" t="s">
        <v>38</v>
      </c>
      <c r="D108" s="2" t="s">
        <v>21</v>
      </c>
      <c r="E108" s="2" t="s">
        <v>29</v>
      </c>
      <c r="F108" s="2" t="s">
        <v>19</v>
      </c>
      <c r="G108" s="2">
        <v>39</v>
      </c>
      <c r="H108" s="2">
        <v>1499</v>
      </c>
      <c r="I108" s="2">
        <v>58461</v>
      </c>
      <c r="J108" s="2">
        <v>61093</v>
      </c>
      <c r="K108" s="2">
        <v>4.5</v>
      </c>
      <c r="L108" s="2">
        <v>0</v>
      </c>
      <c r="M108" s="2">
        <v>13567</v>
      </c>
      <c r="N108" s="2">
        <v>66432</v>
      </c>
    </row>
    <row r="109" spans="1:14" x14ac:dyDescent="0.3">
      <c r="A109" s="3" t="s">
        <v>215</v>
      </c>
      <c r="B109" s="3" t="s">
        <v>41</v>
      </c>
      <c r="C109" s="3" t="s">
        <v>38</v>
      </c>
      <c r="D109" s="3" t="s">
        <v>24</v>
      </c>
      <c r="E109" s="3" t="s">
        <v>29</v>
      </c>
      <c r="F109" s="3" t="s">
        <v>39</v>
      </c>
      <c r="G109" s="3">
        <v>27</v>
      </c>
      <c r="H109" s="3">
        <v>1499</v>
      </c>
      <c r="I109" s="3">
        <v>40473</v>
      </c>
      <c r="J109" s="3">
        <v>39029</v>
      </c>
      <c r="K109" s="3">
        <v>3.8</v>
      </c>
      <c r="L109" s="3">
        <v>1</v>
      </c>
      <c r="M109" s="3">
        <v>7997</v>
      </c>
      <c r="N109" s="3">
        <v>45663</v>
      </c>
    </row>
    <row r="110" spans="1:14" x14ac:dyDescent="0.3">
      <c r="A110" s="2" t="s">
        <v>216</v>
      </c>
      <c r="B110" s="2" t="s">
        <v>41</v>
      </c>
      <c r="C110" s="2" t="s">
        <v>38</v>
      </c>
      <c r="D110" s="2" t="s">
        <v>28</v>
      </c>
      <c r="E110" s="2" t="s">
        <v>18</v>
      </c>
      <c r="F110" s="2" t="s">
        <v>61</v>
      </c>
      <c r="G110" s="2">
        <v>143</v>
      </c>
      <c r="H110" s="2">
        <v>1499</v>
      </c>
      <c r="I110" s="2">
        <v>214357</v>
      </c>
      <c r="J110" s="2">
        <v>228118</v>
      </c>
      <c r="K110" s="2">
        <v>1.1000000000000001</v>
      </c>
      <c r="L110" s="2">
        <v>6</v>
      </c>
      <c r="M110" s="2">
        <v>45739</v>
      </c>
      <c r="N110" s="2">
        <v>181500</v>
      </c>
    </row>
    <row r="111" spans="1:14" x14ac:dyDescent="0.3">
      <c r="A111" s="3" t="s">
        <v>217</v>
      </c>
      <c r="B111" s="3" t="s">
        <v>41</v>
      </c>
      <c r="C111" s="3" t="s">
        <v>38</v>
      </c>
      <c r="D111" s="3" t="s">
        <v>45</v>
      </c>
      <c r="E111" s="3" t="s">
        <v>46</v>
      </c>
      <c r="F111" s="3" t="s">
        <v>19</v>
      </c>
      <c r="G111" s="3">
        <v>56</v>
      </c>
      <c r="H111" s="3">
        <v>1499</v>
      </c>
      <c r="I111" s="3">
        <v>83944</v>
      </c>
      <c r="J111" s="3">
        <v>74695</v>
      </c>
      <c r="K111" s="3">
        <v>6</v>
      </c>
      <c r="L111" s="3">
        <v>0</v>
      </c>
      <c r="M111" s="3">
        <v>15648</v>
      </c>
      <c r="N111" s="3">
        <v>94590</v>
      </c>
    </row>
    <row r="112" spans="1:14" x14ac:dyDescent="0.3">
      <c r="A112" s="2" t="s">
        <v>218</v>
      </c>
      <c r="B112" s="2" t="s">
        <v>41</v>
      </c>
      <c r="C112" s="2" t="s">
        <v>48</v>
      </c>
      <c r="D112" s="2" t="s">
        <v>17</v>
      </c>
      <c r="E112" s="2" t="s">
        <v>25</v>
      </c>
      <c r="F112" s="2" t="s">
        <v>19</v>
      </c>
      <c r="G112" s="2">
        <v>121</v>
      </c>
      <c r="H112" s="2">
        <v>9999</v>
      </c>
      <c r="I112" s="2">
        <v>1209879</v>
      </c>
      <c r="J112" s="2">
        <v>1426645</v>
      </c>
      <c r="K112" s="2">
        <v>3</v>
      </c>
      <c r="L112" s="2">
        <v>2</v>
      </c>
      <c r="M112" s="2">
        <v>293083</v>
      </c>
      <c r="N112" s="2">
        <v>1192372</v>
      </c>
    </row>
    <row r="113" spans="1:14" x14ac:dyDescent="0.3">
      <c r="A113" s="3" t="s">
        <v>219</v>
      </c>
      <c r="B113" s="3" t="s">
        <v>130</v>
      </c>
      <c r="C113" s="3" t="s">
        <v>184</v>
      </c>
      <c r="D113" s="3" t="s">
        <v>45</v>
      </c>
      <c r="E113" s="3" t="s">
        <v>34</v>
      </c>
      <c r="F113" s="3" t="s">
        <v>103</v>
      </c>
      <c r="G113" s="3">
        <v>145</v>
      </c>
      <c r="H113" s="3">
        <v>24999</v>
      </c>
      <c r="I113" s="3">
        <v>3624855</v>
      </c>
      <c r="J113" s="3">
        <v>3674035</v>
      </c>
      <c r="K113" s="3">
        <v>4.8</v>
      </c>
      <c r="L113" s="3">
        <v>4</v>
      </c>
      <c r="M113" s="3">
        <v>724047</v>
      </c>
      <c r="N113" s="3">
        <v>3410298</v>
      </c>
    </row>
    <row r="114" spans="1:14" x14ac:dyDescent="0.3">
      <c r="A114" s="2" t="s">
        <v>220</v>
      </c>
      <c r="B114" s="2" t="s">
        <v>41</v>
      </c>
      <c r="C114" s="2" t="s">
        <v>48</v>
      </c>
      <c r="D114" s="2" t="s">
        <v>24</v>
      </c>
      <c r="E114" s="2" t="s">
        <v>46</v>
      </c>
      <c r="F114" s="2" t="s">
        <v>57</v>
      </c>
      <c r="G114" s="2">
        <v>50</v>
      </c>
      <c r="H114" s="2">
        <v>999</v>
      </c>
      <c r="I114" s="2">
        <v>49950</v>
      </c>
      <c r="J114" s="2">
        <v>51584</v>
      </c>
      <c r="K114" s="2">
        <v>3.2</v>
      </c>
      <c r="L114" s="2">
        <v>2</v>
      </c>
      <c r="M114" s="2">
        <v>16943</v>
      </c>
      <c r="N114" s="2">
        <v>45252</v>
      </c>
    </row>
    <row r="115" spans="1:14" x14ac:dyDescent="0.3">
      <c r="A115" s="3" t="s">
        <v>221</v>
      </c>
      <c r="B115" s="3" t="s">
        <v>79</v>
      </c>
      <c r="C115" s="3" t="s">
        <v>82</v>
      </c>
      <c r="D115" s="3" t="s">
        <v>98</v>
      </c>
      <c r="E115" s="3" t="s">
        <v>118</v>
      </c>
      <c r="F115" s="3" t="s">
        <v>112</v>
      </c>
      <c r="G115" s="3">
        <v>155</v>
      </c>
      <c r="H115" s="3">
        <v>14999</v>
      </c>
      <c r="I115" s="3">
        <v>2324845</v>
      </c>
      <c r="J115" s="3">
        <v>2594636</v>
      </c>
      <c r="K115" s="3">
        <v>1.3</v>
      </c>
      <c r="L115" s="3">
        <v>10</v>
      </c>
      <c r="M115" s="3">
        <v>575635</v>
      </c>
      <c r="N115" s="3">
        <v>2295113</v>
      </c>
    </row>
    <row r="116" spans="1:14" x14ac:dyDescent="0.3">
      <c r="A116" s="2" t="s">
        <v>222</v>
      </c>
      <c r="B116" s="2" t="s">
        <v>41</v>
      </c>
      <c r="C116" s="2" t="s">
        <v>48</v>
      </c>
      <c r="D116" s="2" t="s">
        <v>45</v>
      </c>
      <c r="E116" s="2" t="s">
        <v>46</v>
      </c>
      <c r="F116" s="2" t="s">
        <v>61</v>
      </c>
      <c r="G116" s="2">
        <v>73</v>
      </c>
      <c r="H116" s="2">
        <v>499</v>
      </c>
      <c r="I116" s="2">
        <v>36427</v>
      </c>
      <c r="J116" s="2">
        <v>41552</v>
      </c>
      <c r="K116" s="2">
        <v>12.5</v>
      </c>
      <c r="L116" s="2">
        <v>0</v>
      </c>
      <c r="M116" s="2">
        <v>8761</v>
      </c>
      <c r="N116" s="2">
        <v>31713</v>
      </c>
    </row>
    <row r="117" spans="1:14" x14ac:dyDescent="0.3">
      <c r="A117" s="3" t="s">
        <v>223</v>
      </c>
      <c r="B117" s="3" t="s">
        <v>211</v>
      </c>
      <c r="C117" s="3" t="s">
        <v>93</v>
      </c>
      <c r="D117" s="3" t="s">
        <v>117</v>
      </c>
      <c r="E117" s="3" t="s">
        <v>99</v>
      </c>
      <c r="F117" s="3" t="s">
        <v>84</v>
      </c>
      <c r="G117" s="3">
        <v>88</v>
      </c>
      <c r="H117" s="3">
        <v>9999</v>
      </c>
      <c r="I117" s="3">
        <v>879912</v>
      </c>
      <c r="J117" s="3">
        <v>868218</v>
      </c>
      <c r="K117" s="3">
        <v>3.8</v>
      </c>
      <c r="L117" s="3">
        <v>6</v>
      </c>
      <c r="M117" s="3">
        <v>209898</v>
      </c>
      <c r="N117" s="3">
        <v>968435</v>
      </c>
    </row>
    <row r="118" spans="1:14" x14ac:dyDescent="0.3">
      <c r="A118" s="2" t="s">
        <v>224</v>
      </c>
      <c r="B118" s="2" t="s">
        <v>59</v>
      </c>
      <c r="C118" s="2" t="s">
        <v>60</v>
      </c>
      <c r="D118" s="2" t="s">
        <v>21</v>
      </c>
      <c r="E118" s="2" t="s">
        <v>25</v>
      </c>
      <c r="F118" s="2" t="s">
        <v>61</v>
      </c>
      <c r="G118" s="2">
        <v>28</v>
      </c>
      <c r="H118" s="2">
        <v>2499</v>
      </c>
      <c r="I118" s="2">
        <v>69972</v>
      </c>
      <c r="J118" s="2">
        <v>76529</v>
      </c>
      <c r="K118" s="2">
        <v>8</v>
      </c>
      <c r="L118" s="2">
        <v>2</v>
      </c>
      <c r="M118" s="2"/>
      <c r="N118" s="2">
        <v>78723</v>
      </c>
    </row>
    <row r="119" spans="1:14" x14ac:dyDescent="0.3">
      <c r="A119" s="3" t="s">
        <v>225</v>
      </c>
      <c r="B119" s="3" t="s">
        <v>41</v>
      </c>
      <c r="C119" s="3" t="s">
        <v>60</v>
      </c>
      <c r="D119" s="3" t="s">
        <v>24</v>
      </c>
      <c r="E119" s="3" t="s">
        <v>18</v>
      </c>
      <c r="F119" s="3" t="s">
        <v>39</v>
      </c>
      <c r="G119" s="3">
        <v>189</v>
      </c>
      <c r="H119" s="3">
        <v>4999</v>
      </c>
      <c r="I119" s="3">
        <v>944811</v>
      </c>
      <c r="J119" s="3">
        <v>921309</v>
      </c>
      <c r="K119" s="3">
        <v>7.9</v>
      </c>
      <c r="L119" s="3">
        <v>6</v>
      </c>
      <c r="M119" s="3">
        <v>226839</v>
      </c>
      <c r="N119" s="3">
        <v>1013683</v>
      </c>
    </row>
    <row r="120" spans="1:14" x14ac:dyDescent="0.3">
      <c r="A120" s="2" t="s">
        <v>226</v>
      </c>
      <c r="B120" s="2" t="s">
        <v>41</v>
      </c>
      <c r="C120" s="2" t="s">
        <v>60</v>
      </c>
      <c r="D120" s="2" t="s">
        <v>28</v>
      </c>
      <c r="E120" s="2" t="s">
        <v>46</v>
      </c>
      <c r="F120" s="2" t="s">
        <v>61</v>
      </c>
      <c r="G120" s="2">
        <v>30</v>
      </c>
      <c r="H120" s="2">
        <v>4999</v>
      </c>
      <c r="I120" s="2">
        <v>149970</v>
      </c>
      <c r="J120" s="2">
        <v>148352</v>
      </c>
      <c r="K120" s="2">
        <v>10.5</v>
      </c>
      <c r="L120" s="2">
        <v>0</v>
      </c>
      <c r="M120" s="2">
        <v>42450</v>
      </c>
      <c r="N120" s="2">
        <v>154291</v>
      </c>
    </row>
    <row r="121" spans="1:14" x14ac:dyDescent="0.3">
      <c r="A121" s="3" t="s">
        <v>227</v>
      </c>
      <c r="B121" s="3" t="s">
        <v>41</v>
      </c>
      <c r="C121" s="3" t="s">
        <v>60</v>
      </c>
      <c r="D121" s="3" t="s">
        <v>45</v>
      </c>
      <c r="E121" s="3" t="s">
        <v>46</v>
      </c>
      <c r="F121" s="3" t="s">
        <v>61</v>
      </c>
      <c r="G121" s="3">
        <v>100</v>
      </c>
      <c r="H121" s="3">
        <v>9999</v>
      </c>
      <c r="I121" s="3">
        <v>999900</v>
      </c>
      <c r="J121" s="3">
        <v>1151075</v>
      </c>
      <c r="K121" s="3">
        <v>12.3</v>
      </c>
      <c r="L121" s="3">
        <v>4</v>
      </c>
      <c r="M121" s="3">
        <v>292189</v>
      </c>
      <c r="N121" s="3">
        <v>1076393</v>
      </c>
    </row>
    <row r="122" spans="1:14" x14ac:dyDescent="0.3">
      <c r="A122" s="2" t="s">
        <v>228</v>
      </c>
      <c r="B122" s="2" t="s">
        <v>142</v>
      </c>
      <c r="C122" s="2" t="s">
        <v>16</v>
      </c>
      <c r="D122" s="2" t="s">
        <v>17</v>
      </c>
      <c r="E122" s="2" t="s">
        <v>29</v>
      </c>
      <c r="F122" s="2" t="s">
        <v>19</v>
      </c>
      <c r="G122" s="2">
        <v>34</v>
      </c>
      <c r="H122" s="2">
        <v>499</v>
      </c>
      <c r="I122" s="2">
        <v>16966</v>
      </c>
      <c r="J122" s="2">
        <v>19182</v>
      </c>
      <c r="K122" s="2">
        <v>4.7</v>
      </c>
      <c r="L122" s="2">
        <v>1</v>
      </c>
      <c r="M122" s="2">
        <v>5589</v>
      </c>
      <c r="N122" s="2">
        <v>14874</v>
      </c>
    </row>
    <row r="123" spans="1:14" x14ac:dyDescent="0.3">
      <c r="A123" s="3" t="s">
        <v>229</v>
      </c>
      <c r="B123" s="3" t="s">
        <v>142</v>
      </c>
      <c r="C123" s="3" t="s">
        <v>16</v>
      </c>
      <c r="D123" s="3" t="s">
        <v>21</v>
      </c>
      <c r="E123" s="3" t="s">
        <v>46</v>
      </c>
      <c r="F123" s="3" t="s">
        <v>26</v>
      </c>
      <c r="G123" s="3">
        <v>26</v>
      </c>
      <c r="H123" s="3">
        <v>9999</v>
      </c>
      <c r="I123" s="3"/>
      <c r="J123" s="3">
        <v>293564</v>
      </c>
      <c r="K123" s="3">
        <v>8.6</v>
      </c>
      <c r="L123" s="3">
        <v>1</v>
      </c>
      <c r="M123" s="3">
        <v>73150</v>
      </c>
      <c r="N123" s="3">
        <v>263696</v>
      </c>
    </row>
    <row r="124" spans="1:14" x14ac:dyDescent="0.3">
      <c r="A124" s="2" t="s">
        <v>230</v>
      </c>
      <c r="B124" s="2" t="s">
        <v>142</v>
      </c>
      <c r="C124" s="2" t="s">
        <v>16</v>
      </c>
      <c r="D124" s="2" t="s">
        <v>24</v>
      </c>
      <c r="E124" s="2" t="s">
        <v>18</v>
      </c>
      <c r="F124" s="2" t="s">
        <v>19</v>
      </c>
      <c r="G124" s="2">
        <v>116</v>
      </c>
      <c r="H124" s="2">
        <v>2499</v>
      </c>
      <c r="I124" s="2">
        <v>289884</v>
      </c>
      <c r="J124" s="2">
        <v>278433</v>
      </c>
      <c r="K124" s="2">
        <v>10.1</v>
      </c>
      <c r="L124" s="2">
        <v>3</v>
      </c>
      <c r="M124" s="2">
        <v>96324</v>
      </c>
      <c r="N124" s="2">
        <v>301068</v>
      </c>
    </row>
    <row r="125" spans="1:14" x14ac:dyDescent="0.3">
      <c r="A125" s="3" t="s">
        <v>231</v>
      </c>
      <c r="B125" s="3" t="s">
        <v>142</v>
      </c>
      <c r="C125" s="3" t="s">
        <v>16</v>
      </c>
      <c r="D125" s="3" t="s">
        <v>28</v>
      </c>
      <c r="E125" s="3" t="s">
        <v>25</v>
      </c>
      <c r="F125" s="3" t="s">
        <v>39</v>
      </c>
      <c r="G125" s="3">
        <v>156</v>
      </c>
      <c r="H125" s="3">
        <v>2499</v>
      </c>
      <c r="I125" s="3">
        <v>389844</v>
      </c>
      <c r="J125" s="3">
        <v>465772</v>
      </c>
      <c r="K125" s="3">
        <v>3.9</v>
      </c>
      <c r="L125" s="3">
        <v>6</v>
      </c>
      <c r="M125" s="3">
        <v>106125</v>
      </c>
      <c r="N125" s="3">
        <v>335983</v>
      </c>
    </row>
    <row r="126" spans="1:14" x14ac:dyDescent="0.3">
      <c r="A126" s="2" t="s">
        <v>232</v>
      </c>
      <c r="B126" s="2" t="s">
        <v>161</v>
      </c>
      <c r="C126" s="2" t="s">
        <v>114</v>
      </c>
      <c r="D126" s="2" t="s">
        <v>233</v>
      </c>
      <c r="E126" s="2" t="s">
        <v>46</v>
      </c>
      <c r="F126" s="2" t="s">
        <v>26</v>
      </c>
      <c r="G126" s="2">
        <v>29</v>
      </c>
      <c r="H126" s="2">
        <v>1499</v>
      </c>
      <c r="I126" s="2">
        <v>43471</v>
      </c>
      <c r="J126" s="2">
        <v>41121</v>
      </c>
      <c r="K126" s="2">
        <v>6.8</v>
      </c>
      <c r="L126" s="2">
        <v>2</v>
      </c>
      <c r="M126" s="2">
        <v>15019</v>
      </c>
      <c r="N126" s="2">
        <v>48857</v>
      </c>
    </row>
    <row r="127" spans="1:14" x14ac:dyDescent="0.3">
      <c r="A127" s="3" t="s">
        <v>234</v>
      </c>
      <c r="B127" s="3" t="s">
        <v>142</v>
      </c>
      <c r="C127" s="3" t="s">
        <v>38</v>
      </c>
      <c r="D127" s="3" t="s">
        <v>17</v>
      </c>
      <c r="E127" s="3" t="s">
        <v>29</v>
      </c>
      <c r="F127" s="3" t="s">
        <v>39</v>
      </c>
      <c r="G127" s="3">
        <v>20</v>
      </c>
      <c r="H127" s="3">
        <v>4999</v>
      </c>
      <c r="I127" s="3">
        <v>99980</v>
      </c>
      <c r="J127" s="3">
        <v>91350</v>
      </c>
      <c r="K127" s="3">
        <v>11.3</v>
      </c>
      <c r="L127" s="3">
        <v>0</v>
      </c>
      <c r="M127" s="3">
        <v>32259</v>
      </c>
      <c r="N127" s="3">
        <v>89214</v>
      </c>
    </row>
    <row r="128" spans="1:14" x14ac:dyDescent="0.3">
      <c r="A128" s="2" t="s">
        <v>235</v>
      </c>
      <c r="B128" s="2" t="s">
        <v>142</v>
      </c>
      <c r="C128" s="2" t="s">
        <v>38</v>
      </c>
      <c r="D128" s="2" t="s">
        <v>21</v>
      </c>
      <c r="E128" s="2" t="s">
        <v>29</v>
      </c>
      <c r="F128" s="2" t="s">
        <v>19</v>
      </c>
      <c r="G128" s="2">
        <v>156</v>
      </c>
      <c r="H128" s="2">
        <v>2499</v>
      </c>
      <c r="I128" s="2">
        <v>389844</v>
      </c>
      <c r="J128" s="2">
        <v>342836</v>
      </c>
      <c r="K128" s="2">
        <v>4.9000000000000004</v>
      </c>
      <c r="L128" s="2">
        <v>12</v>
      </c>
      <c r="M128" s="2">
        <v>88899</v>
      </c>
      <c r="N128" s="2">
        <v>341087</v>
      </c>
    </row>
    <row r="129" spans="1:14" x14ac:dyDescent="0.3">
      <c r="A129" s="3" t="s">
        <v>236</v>
      </c>
      <c r="B129" s="3" t="s">
        <v>37</v>
      </c>
      <c r="C129" s="3" t="s">
        <v>138</v>
      </c>
      <c r="D129" s="3" t="s">
        <v>159</v>
      </c>
      <c r="E129" s="3" t="s">
        <v>87</v>
      </c>
      <c r="F129" s="3" t="s">
        <v>88</v>
      </c>
      <c r="G129" s="3">
        <v>10</v>
      </c>
      <c r="H129" s="3">
        <v>499</v>
      </c>
      <c r="I129" s="3">
        <v>4990</v>
      </c>
      <c r="J129" s="3">
        <v>5313</v>
      </c>
      <c r="K129" s="3">
        <v>2.9</v>
      </c>
      <c r="L129" s="3">
        <v>0</v>
      </c>
      <c r="M129" s="3">
        <v>1729</v>
      </c>
      <c r="N129" s="3">
        <v>5101</v>
      </c>
    </row>
    <row r="130" spans="1:14" x14ac:dyDescent="0.3">
      <c r="A130" s="2" t="s">
        <v>237</v>
      </c>
      <c r="B130" s="2" t="s">
        <v>142</v>
      </c>
      <c r="C130" s="2" t="s">
        <v>38</v>
      </c>
      <c r="D130" s="2" t="s">
        <v>28</v>
      </c>
      <c r="E130" s="2" t="s">
        <v>18</v>
      </c>
      <c r="F130" s="2" t="s">
        <v>26</v>
      </c>
      <c r="G130" s="2">
        <v>161</v>
      </c>
      <c r="H130" s="2">
        <v>9999</v>
      </c>
      <c r="I130" s="2">
        <v>1609839</v>
      </c>
      <c r="J130" s="2">
        <v>1651633</v>
      </c>
      <c r="K130" s="2">
        <v>12.8</v>
      </c>
      <c r="L130" s="2">
        <v>0</v>
      </c>
      <c r="M130" s="2">
        <v>352577</v>
      </c>
      <c r="N130" s="2">
        <v>1725226</v>
      </c>
    </row>
    <row r="131" spans="1:14" x14ac:dyDescent="0.3">
      <c r="A131" s="3" t="s">
        <v>238</v>
      </c>
      <c r="B131" s="3" t="s">
        <v>142</v>
      </c>
      <c r="C131" s="3" t="s">
        <v>38</v>
      </c>
      <c r="D131" s="3" t="s">
        <v>45</v>
      </c>
      <c r="E131" s="3" t="s">
        <v>25</v>
      </c>
      <c r="F131" s="3" t="s">
        <v>57</v>
      </c>
      <c r="G131" s="3">
        <v>42</v>
      </c>
      <c r="H131" s="3">
        <v>9999</v>
      </c>
      <c r="I131" s="3">
        <v>419958</v>
      </c>
      <c r="J131" s="3">
        <v>366365</v>
      </c>
      <c r="K131" s="3">
        <v>0.5</v>
      </c>
      <c r="L131" s="3">
        <v>3</v>
      </c>
      <c r="M131" s="3"/>
      <c r="N131" s="3">
        <v>451305</v>
      </c>
    </row>
    <row r="132" spans="1:14" x14ac:dyDescent="0.3">
      <c r="A132" s="2" t="s">
        <v>239</v>
      </c>
      <c r="B132" s="2" t="s">
        <v>59</v>
      </c>
      <c r="C132" s="2" t="s">
        <v>48</v>
      </c>
      <c r="D132" s="2" t="s">
        <v>17</v>
      </c>
      <c r="E132" s="2" t="s">
        <v>18</v>
      </c>
      <c r="F132" s="2" t="s">
        <v>26</v>
      </c>
      <c r="G132" s="2">
        <v>-14</v>
      </c>
      <c r="H132" s="2">
        <v>14999</v>
      </c>
      <c r="I132" s="2">
        <v>209986</v>
      </c>
      <c r="J132" s="2">
        <v>201317</v>
      </c>
      <c r="K132" s="2">
        <v>3.2</v>
      </c>
      <c r="L132" s="2">
        <v>0</v>
      </c>
      <c r="M132" s="2">
        <v>64992</v>
      </c>
      <c r="N132" s="2">
        <v>191811</v>
      </c>
    </row>
    <row r="133" spans="1:14" x14ac:dyDescent="0.3">
      <c r="A133" s="3" t="s">
        <v>240</v>
      </c>
      <c r="B133" s="3" t="s">
        <v>142</v>
      </c>
      <c r="C133" s="3" t="s">
        <v>48</v>
      </c>
      <c r="D133" s="3" t="s">
        <v>21</v>
      </c>
      <c r="E133" s="3" t="s">
        <v>29</v>
      </c>
      <c r="F133" s="3" t="s">
        <v>39</v>
      </c>
      <c r="G133" s="3">
        <v>151</v>
      </c>
      <c r="H133" s="3">
        <v>14999</v>
      </c>
      <c r="I133" s="3">
        <v>2264849</v>
      </c>
      <c r="J133" s="3">
        <v>2060473</v>
      </c>
      <c r="K133" s="3">
        <v>12.6</v>
      </c>
      <c r="L133" s="3">
        <v>12</v>
      </c>
      <c r="M133" s="3">
        <v>421729</v>
      </c>
      <c r="N133" s="3">
        <v>1972261</v>
      </c>
    </row>
    <row r="134" spans="1:14" x14ac:dyDescent="0.3">
      <c r="A134" s="2" t="s">
        <v>241</v>
      </c>
      <c r="B134" s="2" t="s">
        <v>142</v>
      </c>
      <c r="C134" s="2" t="s">
        <v>48</v>
      </c>
      <c r="D134" s="2" t="s">
        <v>24</v>
      </c>
      <c r="E134" s="2" t="s">
        <v>18</v>
      </c>
      <c r="F134" s="2" t="s">
        <v>57</v>
      </c>
      <c r="G134" s="2">
        <v>127</v>
      </c>
      <c r="H134" s="2">
        <v>14999</v>
      </c>
      <c r="I134" s="2">
        <v>1904873</v>
      </c>
      <c r="J134" s="2">
        <v>1693875</v>
      </c>
      <c r="K134" s="2">
        <v>14.8</v>
      </c>
      <c r="L134" s="2">
        <v>8</v>
      </c>
      <c r="M134" s="2">
        <v>308619</v>
      </c>
      <c r="N134" s="2">
        <v>1999292</v>
      </c>
    </row>
    <row r="135" spans="1:14" x14ac:dyDescent="0.3">
      <c r="A135" s="3" t="s">
        <v>242</v>
      </c>
      <c r="B135" s="3" t="s">
        <v>142</v>
      </c>
      <c r="C135" s="3" t="s">
        <v>48</v>
      </c>
      <c r="D135" s="3" t="s">
        <v>28</v>
      </c>
      <c r="E135" s="3" t="s">
        <v>29</v>
      </c>
      <c r="F135" s="3" t="s">
        <v>57</v>
      </c>
      <c r="G135" s="3">
        <v>100</v>
      </c>
      <c r="H135" s="3">
        <v>2499</v>
      </c>
      <c r="I135" s="3">
        <v>249900</v>
      </c>
      <c r="J135" s="3">
        <v>286299</v>
      </c>
      <c r="K135" s="3">
        <v>5.8</v>
      </c>
      <c r="L135" s="3">
        <v>8</v>
      </c>
      <c r="M135" s="3">
        <v>52138</v>
      </c>
      <c r="N135" s="3">
        <v>274193</v>
      </c>
    </row>
    <row r="136" spans="1:14" x14ac:dyDescent="0.3">
      <c r="A136" s="2" t="s">
        <v>243</v>
      </c>
      <c r="B136" s="2" t="s">
        <v>142</v>
      </c>
      <c r="C136" s="2" t="s">
        <v>48</v>
      </c>
      <c r="D136" s="2" t="s">
        <v>45</v>
      </c>
      <c r="E136" s="2" t="s">
        <v>18</v>
      </c>
      <c r="F136" s="2" t="s">
        <v>19</v>
      </c>
      <c r="G136" s="2">
        <v>106</v>
      </c>
      <c r="H136" s="2">
        <v>9999</v>
      </c>
      <c r="I136" s="2">
        <v>1059894</v>
      </c>
      <c r="J136" s="2">
        <v>1141747</v>
      </c>
      <c r="K136" s="2">
        <v>13</v>
      </c>
      <c r="L136" s="2">
        <v>1</v>
      </c>
      <c r="M136" s="2">
        <v>322633</v>
      </c>
      <c r="N136" s="2">
        <v>990730</v>
      </c>
    </row>
    <row r="137" spans="1:14" x14ac:dyDescent="0.3">
      <c r="A137" s="3" t="s">
        <v>244</v>
      </c>
      <c r="B137" s="3" t="s">
        <v>142</v>
      </c>
      <c r="C137" s="3" t="s">
        <v>60</v>
      </c>
      <c r="D137" s="3" t="s">
        <v>17</v>
      </c>
      <c r="E137" s="3" t="s">
        <v>22</v>
      </c>
      <c r="F137" s="3" t="s">
        <v>57</v>
      </c>
      <c r="G137" s="3">
        <v>179</v>
      </c>
      <c r="H137" s="3">
        <v>9999</v>
      </c>
      <c r="I137" s="3">
        <v>1789821</v>
      </c>
      <c r="J137" s="3">
        <v>1597226</v>
      </c>
      <c r="K137" s="3">
        <v>1.8</v>
      </c>
      <c r="L137" s="3">
        <v>3</v>
      </c>
      <c r="M137" s="3">
        <v>348081</v>
      </c>
      <c r="N137" s="3">
        <v>1468060</v>
      </c>
    </row>
    <row r="138" spans="1:14" x14ac:dyDescent="0.3">
      <c r="A138" s="2" t="s">
        <v>245</v>
      </c>
      <c r="B138" s="2" t="s">
        <v>142</v>
      </c>
      <c r="C138" s="2" t="s">
        <v>60</v>
      </c>
      <c r="D138" s="2" t="s">
        <v>21</v>
      </c>
      <c r="E138" s="2" t="s">
        <v>29</v>
      </c>
      <c r="F138" s="2" t="s">
        <v>26</v>
      </c>
      <c r="G138" s="2">
        <v>167</v>
      </c>
      <c r="H138" s="2">
        <v>14999</v>
      </c>
      <c r="I138" s="2">
        <v>2504833</v>
      </c>
      <c r="J138" s="2">
        <v>2239568</v>
      </c>
      <c r="K138" s="2">
        <v>9</v>
      </c>
      <c r="L138" s="2">
        <v>1</v>
      </c>
      <c r="M138" s="2">
        <v>835258</v>
      </c>
      <c r="N138" s="2">
        <v>2180777</v>
      </c>
    </row>
    <row r="139" spans="1:14" x14ac:dyDescent="0.3">
      <c r="A139" s="3" t="s">
        <v>246</v>
      </c>
      <c r="B139" s="3" t="s">
        <v>142</v>
      </c>
      <c r="C139" s="3" t="s">
        <v>60</v>
      </c>
      <c r="D139" s="3" t="s">
        <v>24</v>
      </c>
      <c r="E139" s="3" t="s">
        <v>22</v>
      </c>
      <c r="F139" s="3" t="s">
        <v>61</v>
      </c>
      <c r="G139" s="3">
        <v>197</v>
      </c>
      <c r="H139" s="3">
        <v>2499</v>
      </c>
      <c r="I139" s="3">
        <v>492303</v>
      </c>
      <c r="J139" s="3">
        <v>562036</v>
      </c>
      <c r="K139" s="3">
        <v>10.4</v>
      </c>
      <c r="L139" s="3">
        <v>13</v>
      </c>
      <c r="M139" s="3">
        <v>93994</v>
      </c>
      <c r="N139" s="3">
        <v>435237</v>
      </c>
    </row>
    <row r="140" spans="1:14" x14ac:dyDescent="0.3">
      <c r="A140" s="2" t="s">
        <v>247</v>
      </c>
      <c r="B140" s="2" t="s">
        <v>142</v>
      </c>
      <c r="C140" s="2" t="s">
        <v>60</v>
      </c>
      <c r="D140" s="2" t="s">
        <v>28</v>
      </c>
      <c r="E140" s="2" t="s">
        <v>29</v>
      </c>
      <c r="F140" s="2" t="s">
        <v>61</v>
      </c>
      <c r="G140" s="2">
        <v>106</v>
      </c>
      <c r="H140" s="2">
        <v>4999</v>
      </c>
      <c r="I140" s="2">
        <v>529894</v>
      </c>
      <c r="J140" s="2">
        <v>626530</v>
      </c>
      <c r="K140" s="2">
        <v>14.2</v>
      </c>
      <c r="L140" s="2">
        <v>1</v>
      </c>
      <c r="M140" s="2">
        <v>155234</v>
      </c>
      <c r="N140" s="2">
        <v>486765</v>
      </c>
    </row>
    <row r="141" spans="1:14" x14ac:dyDescent="0.3">
      <c r="A141" s="3" t="s">
        <v>248</v>
      </c>
      <c r="B141" s="3" t="s">
        <v>142</v>
      </c>
      <c r="C141" s="3" t="s">
        <v>60</v>
      </c>
      <c r="D141" s="3" t="s">
        <v>45</v>
      </c>
      <c r="E141" s="3" t="s">
        <v>18</v>
      </c>
      <c r="F141" s="3" t="s">
        <v>61</v>
      </c>
      <c r="G141" s="3">
        <v>49</v>
      </c>
      <c r="H141" s="3">
        <v>14999</v>
      </c>
      <c r="I141" s="3">
        <v>734951</v>
      </c>
      <c r="J141" s="3">
        <v>782146</v>
      </c>
      <c r="K141" s="3">
        <v>11.1</v>
      </c>
      <c r="L141" s="3">
        <v>1</v>
      </c>
      <c r="M141" s="3">
        <v>186155</v>
      </c>
      <c r="N141" s="3">
        <v>721328</v>
      </c>
    </row>
    <row r="142" spans="1:14" x14ac:dyDescent="0.3">
      <c r="A142" s="2" t="s">
        <v>249</v>
      </c>
      <c r="B142" s="2" t="s">
        <v>51</v>
      </c>
      <c r="C142" s="2" t="s">
        <v>16</v>
      </c>
      <c r="D142" s="2" t="s">
        <v>17</v>
      </c>
      <c r="E142" s="2" t="s">
        <v>29</v>
      </c>
      <c r="F142" s="2" t="s">
        <v>39</v>
      </c>
      <c r="G142" s="2">
        <v>21</v>
      </c>
      <c r="H142" s="2">
        <v>14999</v>
      </c>
      <c r="I142" s="2">
        <v>314979</v>
      </c>
      <c r="J142" s="2">
        <v>329457</v>
      </c>
      <c r="K142" s="2">
        <v>6.6</v>
      </c>
      <c r="L142" s="2">
        <v>0</v>
      </c>
      <c r="M142" s="2">
        <v>82078</v>
      </c>
      <c r="N142" s="2">
        <v>337925</v>
      </c>
    </row>
    <row r="143" spans="1:14" x14ac:dyDescent="0.3">
      <c r="A143" s="3" t="s">
        <v>250</v>
      </c>
      <c r="B143" s="3" t="s">
        <v>51</v>
      </c>
      <c r="C143" s="3" t="s">
        <v>16</v>
      </c>
      <c r="D143" s="3" t="s">
        <v>21</v>
      </c>
      <c r="E143" s="3" t="s">
        <v>25</v>
      </c>
      <c r="F143" s="3" t="s">
        <v>19</v>
      </c>
      <c r="G143" s="3">
        <v>157</v>
      </c>
      <c r="H143" s="3">
        <v>1499</v>
      </c>
      <c r="I143" s="3">
        <v>235343</v>
      </c>
      <c r="J143" s="3">
        <v>225911</v>
      </c>
      <c r="K143" s="3">
        <v>11</v>
      </c>
      <c r="L143" s="3">
        <v>1</v>
      </c>
      <c r="M143" s="3">
        <v>64242</v>
      </c>
      <c r="N143" s="3">
        <v>199285</v>
      </c>
    </row>
    <row r="144" spans="1:14" x14ac:dyDescent="0.3">
      <c r="A144" s="2" t="s">
        <v>251</v>
      </c>
      <c r="B144" s="2" t="s">
        <v>51</v>
      </c>
      <c r="C144" s="2" t="s">
        <v>16</v>
      </c>
      <c r="D144" s="2" t="s">
        <v>24</v>
      </c>
      <c r="E144" s="2" t="s">
        <v>22</v>
      </c>
      <c r="F144" s="2" t="s">
        <v>26</v>
      </c>
      <c r="G144" s="2">
        <v>140</v>
      </c>
      <c r="H144" s="2">
        <v>1499</v>
      </c>
      <c r="I144" s="2">
        <v>209860</v>
      </c>
      <c r="J144" s="2">
        <v>211276</v>
      </c>
      <c r="K144" s="2">
        <v>14.4</v>
      </c>
      <c r="L144" s="2">
        <v>4</v>
      </c>
      <c r="M144" s="2">
        <v>32261</v>
      </c>
      <c r="N144" s="2">
        <v>168529</v>
      </c>
    </row>
    <row r="145" spans="1:14" x14ac:dyDescent="0.3">
      <c r="A145" s="3" t="s">
        <v>252</v>
      </c>
      <c r="B145" s="3" t="s">
        <v>253</v>
      </c>
      <c r="C145" s="3" t="s">
        <v>16</v>
      </c>
      <c r="D145" s="3" t="s">
        <v>28</v>
      </c>
      <c r="E145" s="3" t="s">
        <v>18</v>
      </c>
      <c r="F145" s="3" t="s">
        <v>57</v>
      </c>
      <c r="G145" s="3">
        <v>19</v>
      </c>
      <c r="H145" s="3">
        <v>499</v>
      </c>
      <c r="I145" s="3">
        <v>9481</v>
      </c>
      <c r="J145" s="3">
        <v>11262</v>
      </c>
      <c r="K145" s="3">
        <v>12.4</v>
      </c>
      <c r="L145" s="3">
        <v>1</v>
      </c>
      <c r="M145" s="3">
        <v>2801</v>
      </c>
      <c r="N145" s="3">
        <v>8213</v>
      </c>
    </row>
    <row r="146" spans="1:14" x14ac:dyDescent="0.3">
      <c r="A146" s="2" t="s">
        <v>254</v>
      </c>
      <c r="B146" s="2" t="s">
        <v>51</v>
      </c>
      <c r="C146" s="2" t="s">
        <v>16</v>
      </c>
      <c r="D146" s="2" t="s">
        <v>45</v>
      </c>
      <c r="E146" s="2" t="s">
        <v>29</v>
      </c>
      <c r="F146" s="2" t="s">
        <v>61</v>
      </c>
      <c r="G146" s="2">
        <v>160</v>
      </c>
      <c r="H146" s="2">
        <v>24999</v>
      </c>
      <c r="I146" s="2">
        <v>3999840</v>
      </c>
      <c r="J146" s="2">
        <v>3995816</v>
      </c>
      <c r="K146" s="2">
        <v>1.6</v>
      </c>
      <c r="L146" s="2">
        <v>8</v>
      </c>
      <c r="M146" s="2">
        <v>767518</v>
      </c>
      <c r="N146" s="2">
        <v>3695375</v>
      </c>
    </row>
    <row r="147" spans="1:14" x14ac:dyDescent="0.3">
      <c r="A147" s="3" t="s">
        <v>255</v>
      </c>
      <c r="B147" s="3" t="s">
        <v>51</v>
      </c>
      <c r="C147" s="3" t="s">
        <v>38</v>
      </c>
      <c r="D147" s="3" t="s">
        <v>17</v>
      </c>
      <c r="E147" s="3" t="s">
        <v>29</v>
      </c>
      <c r="F147" s="3" t="s">
        <v>26</v>
      </c>
      <c r="G147" s="3">
        <v>174</v>
      </c>
      <c r="H147" s="3">
        <v>9999</v>
      </c>
      <c r="I147" s="3"/>
      <c r="J147" s="3">
        <v>1694521</v>
      </c>
      <c r="K147" s="3">
        <v>1.3</v>
      </c>
      <c r="L147" s="3">
        <v>0</v>
      </c>
      <c r="M147" s="3"/>
      <c r="N147" s="3">
        <v>1703749</v>
      </c>
    </row>
    <row r="148" spans="1:14" x14ac:dyDescent="0.3">
      <c r="A148" s="2" t="s">
        <v>256</v>
      </c>
      <c r="B148" s="2" t="s">
        <v>51</v>
      </c>
      <c r="C148" s="2" t="s">
        <v>38</v>
      </c>
      <c r="D148" s="2" t="s">
        <v>21</v>
      </c>
      <c r="E148" s="2" t="s">
        <v>22</v>
      </c>
      <c r="F148" s="2" t="s">
        <v>61</v>
      </c>
      <c r="G148" s="2">
        <v>95</v>
      </c>
      <c r="H148" s="2">
        <v>14999</v>
      </c>
      <c r="I148" s="2">
        <v>1424905</v>
      </c>
      <c r="J148" s="2">
        <v>1613209</v>
      </c>
      <c r="K148" s="2">
        <v>14.1</v>
      </c>
      <c r="L148" s="2">
        <v>7</v>
      </c>
      <c r="M148" s="2">
        <v>363956</v>
      </c>
      <c r="N148" s="2">
        <v>1323447</v>
      </c>
    </row>
    <row r="149" spans="1:14" x14ac:dyDescent="0.3">
      <c r="A149" s="3" t="s">
        <v>257</v>
      </c>
      <c r="B149" s="3" t="s">
        <v>51</v>
      </c>
      <c r="C149" s="3" t="s">
        <v>38</v>
      </c>
      <c r="D149" s="3" t="s">
        <v>24</v>
      </c>
      <c r="E149" s="3" t="s">
        <v>18</v>
      </c>
      <c r="F149" s="3" t="s">
        <v>57</v>
      </c>
      <c r="G149" s="3">
        <v>88</v>
      </c>
      <c r="H149" s="3">
        <v>9999</v>
      </c>
      <c r="I149" s="3">
        <v>879912</v>
      </c>
      <c r="J149" s="3">
        <v>959548</v>
      </c>
      <c r="K149" s="3">
        <v>1.1000000000000001</v>
      </c>
      <c r="L149" s="3">
        <v>3</v>
      </c>
      <c r="M149" s="3">
        <v>171705</v>
      </c>
      <c r="N149" s="3">
        <v>879340</v>
      </c>
    </row>
    <row r="150" spans="1:14" x14ac:dyDescent="0.3">
      <c r="A150" s="2" t="s">
        <v>258</v>
      </c>
      <c r="B150" s="2" t="s">
        <v>259</v>
      </c>
      <c r="C150" s="2" t="s">
        <v>184</v>
      </c>
      <c r="D150" s="2" t="s">
        <v>134</v>
      </c>
      <c r="E150" s="2" t="s">
        <v>189</v>
      </c>
      <c r="F150" s="2" t="s">
        <v>107</v>
      </c>
      <c r="G150" s="2">
        <v>130</v>
      </c>
      <c r="H150" s="2">
        <v>2499</v>
      </c>
      <c r="I150" s="2">
        <v>324870</v>
      </c>
      <c r="J150" s="2">
        <v>336645</v>
      </c>
      <c r="K150" s="2">
        <v>9.4</v>
      </c>
      <c r="L150" s="2">
        <v>3</v>
      </c>
      <c r="M150" s="2">
        <v>82680</v>
      </c>
      <c r="N150" s="2">
        <v>350356</v>
      </c>
    </row>
    <row r="151" spans="1:14" x14ac:dyDescent="0.3">
      <c r="A151" s="3" t="s">
        <v>260</v>
      </c>
      <c r="B151" s="3" t="s">
        <v>51</v>
      </c>
      <c r="C151" s="3" t="s">
        <v>38</v>
      </c>
      <c r="D151" s="3" t="s">
        <v>45</v>
      </c>
      <c r="E151" s="3" t="s">
        <v>29</v>
      </c>
      <c r="F151" s="3" t="s">
        <v>19</v>
      </c>
      <c r="G151" s="3">
        <v>19</v>
      </c>
      <c r="H151" s="3">
        <v>499</v>
      </c>
      <c r="I151" s="3">
        <v>9481</v>
      </c>
      <c r="J151" s="3">
        <v>8463</v>
      </c>
      <c r="K151" s="3">
        <v>9.5</v>
      </c>
      <c r="L151" s="3">
        <v>1</v>
      </c>
      <c r="M151" s="3">
        <v>2145</v>
      </c>
      <c r="N151" s="3">
        <v>10084</v>
      </c>
    </row>
    <row r="152" spans="1:14" x14ac:dyDescent="0.3">
      <c r="A152" s="2" t="s">
        <v>261</v>
      </c>
      <c r="B152" s="2" t="s">
        <v>41</v>
      </c>
      <c r="C152" s="2" t="s">
        <v>48</v>
      </c>
      <c r="D152" s="2" t="s">
        <v>17</v>
      </c>
      <c r="E152" s="2" t="s">
        <v>46</v>
      </c>
      <c r="F152" s="2" t="s">
        <v>19</v>
      </c>
      <c r="G152" s="2">
        <v>200</v>
      </c>
      <c r="H152" s="2">
        <v>24999</v>
      </c>
      <c r="I152" s="2">
        <v>4999800</v>
      </c>
      <c r="J152" s="2">
        <v>4301993</v>
      </c>
      <c r="K152" s="2">
        <v>2</v>
      </c>
      <c r="L152" s="2">
        <v>10</v>
      </c>
      <c r="M152" s="2">
        <v>1320433</v>
      </c>
      <c r="N152" s="2">
        <v>5370706</v>
      </c>
    </row>
    <row r="153" spans="1:14" x14ac:dyDescent="0.3">
      <c r="A153" s="3" t="s">
        <v>262</v>
      </c>
      <c r="B153" s="3" t="s">
        <v>51</v>
      </c>
      <c r="C153" s="3" t="s">
        <v>48</v>
      </c>
      <c r="D153" s="3" t="s">
        <v>21</v>
      </c>
      <c r="E153" s="3" t="s">
        <v>22</v>
      </c>
      <c r="F153" s="3" t="s">
        <v>57</v>
      </c>
      <c r="G153" s="3">
        <v>36</v>
      </c>
      <c r="H153" s="3">
        <v>999</v>
      </c>
      <c r="I153" s="3">
        <v>35964</v>
      </c>
      <c r="J153" s="3">
        <v>32289</v>
      </c>
      <c r="K153" s="3">
        <v>5.5</v>
      </c>
      <c r="L153" s="3">
        <v>1</v>
      </c>
      <c r="M153" s="3">
        <v>9658</v>
      </c>
      <c r="N153" s="3">
        <v>30310</v>
      </c>
    </row>
    <row r="154" spans="1:14" x14ac:dyDescent="0.3">
      <c r="A154" s="2" t="s">
        <v>263</v>
      </c>
      <c r="B154" s="2" t="s">
        <v>264</v>
      </c>
      <c r="C154" s="2" t="s">
        <v>93</v>
      </c>
      <c r="D154" s="2" t="s">
        <v>265</v>
      </c>
      <c r="E154" s="2" t="s">
        <v>95</v>
      </c>
      <c r="F154" s="2" t="s">
        <v>103</v>
      </c>
      <c r="G154" s="2">
        <v>140</v>
      </c>
      <c r="H154" s="2">
        <v>2499</v>
      </c>
      <c r="I154" s="2">
        <v>349860</v>
      </c>
      <c r="J154" s="2">
        <v>326677</v>
      </c>
      <c r="K154" s="2">
        <v>4.5999999999999996</v>
      </c>
      <c r="L154" s="2">
        <v>7</v>
      </c>
      <c r="M154" s="2">
        <v>88953</v>
      </c>
      <c r="N154" s="2">
        <v>358302</v>
      </c>
    </row>
    <row r="155" spans="1:14" x14ac:dyDescent="0.3">
      <c r="A155" s="3" t="s">
        <v>266</v>
      </c>
      <c r="B155" s="3" t="s">
        <v>51</v>
      </c>
      <c r="C155" s="3" t="s">
        <v>48</v>
      </c>
      <c r="D155" s="3" t="s">
        <v>28</v>
      </c>
      <c r="E155" s="3" t="s">
        <v>22</v>
      </c>
      <c r="F155" s="3" t="s">
        <v>19</v>
      </c>
      <c r="G155" s="3">
        <v>22</v>
      </c>
      <c r="H155" s="3">
        <v>9999</v>
      </c>
      <c r="I155" s="3">
        <v>219978</v>
      </c>
      <c r="J155" s="3">
        <v>190057</v>
      </c>
      <c r="K155" s="3">
        <v>7.1</v>
      </c>
      <c r="L155" s="3">
        <v>1</v>
      </c>
      <c r="M155" s="3">
        <v>48223</v>
      </c>
      <c r="N155" s="3">
        <v>235825</v>
      </c>
    </row>
    <row r="156" spans="1:14" x14ac:dyDescent="0.3">
      <c r="A156" s="2" t="s">
        <v>267</v>
      </c>
      <c r="B156" s="2" t="s">
        <v>164</v>
      </c>
      <c r="C156" s="2" t="s">
        <v>82</v>
      </c>
      <c r="D156" s="2" t="s">
        <v>117</v>
      </c>
      <c r="E156" s="2" t="s">
        <v>34</v>
      </c>
      <c r="F156" s="2" t="s">
        <v>107</v>
      </c>
      <c r="G156" s="2">
        <v>56</v>
      </c>
      <c r="H156" s="2">
        <v>1499</v>
      </c>
      <c r="I156" s="2">
        <v>83944</v>
      </c>
      <c r="J156" s="2">
        <v>84524</v>
      </c>
      <c r="K156" s="2">
        <v>2.5</v>
      </c>
      <c r="L156" s="2">
        <v>4</v>
      </c>
      <c r="M156" s="2">
        <v>24646</v>
      </c>
      <c r="N156" s="2">
        <v>91370</v>
      </c>
    </row>
    <row r="157" spans="1:14" x14ac:dyDescent="0.3">
      <c r="A157" s="3" t="s">
        <v>268</v>
      </c>
      <c r="B157" s="3" t="s">
        <v>51</v>
      </c>
      <c r="C157" s="3" t="s">
        <v>60</v>
      </c>
      <c r="D157" s="3" t="s">
        <v>17</v>
      </c>
      <c r="E157" s="3" t="s">
        <v>29</v>
      </c>
      <c r="F157" s="3" t="s">
        <v>19</v>
      </c>
      <c r="G157" s="3">
        <v>57</v>
      </c>
      <c r="H157" s="3">
        <v>24999</v>
      </c>
      <c r="I157" s="3">
        <v>1424943</v>
      </c>
      <c r="J157" s="3">
        <v>1578535</v>
      </c>
      <c r="K157" s="3">
        <v>13</v>
      </c>
      <c r="L157" s="3">
        <v>4</v>
      </c>
      <c r="M157" s="3">
        <v>253582</v>
      </c>
      <c r="N157" s="3">
        <v>1386112</v>
      </c>
    </row>
    <row r="158" spans="1:14" x14ac:dyDescent="0.3">
      <c r="A158" s="2" t="s">
        <v>269</v>
      </c>
      <c r="B158" s="2" t="s">
        <v>51</v>
      </c>
      <c r="C158" s="2" t="s">
        <v>60</v>
      </c>
      <c r="D158" s="2" t="s">
        <v>21</v>
      </c>
      <c r="E158" s="2" t="s">
        <v>25</v>
      </c>
      <c r="F158" s="2" t="s">
        <v>61</v>
      </c>
      <c r="G158" s="2">
        <v>39</v>
      </c>
      <c r="H158" s="2">
        <v>2499</v>
      </c>
      <c r="I158" s="2">
        <v>97461</v>
      </c>
      <c r="J158" s="2">
        <v>94582</v>
      </c>
      <c r="K158" s="2">
        <v>2.2000000000000002</v>
      </c>
      <c r="L158" s="2">
        <v>1</v>
      </c>
      <c r="M158" s="2">
        <v>17892</v>
      </c>
      <c r="N158" s="2">
        <v>79893</v>
      </c>
    </row>
    <row r="159" spans="1:14" x14ac:dyDescent="0.3">
      <c r="A159" s="3" t="s">
        <v>270</v>
      </c>
      <c r="B159" s="3" t="s">
        <v>37</v>
      </c>
      <c r="C159" s="3" t="s">
        <v>110</v>
      </c>
      <c r="D159" s="3" t="s">
        <v>134</v>
      </c>
      <c r="E159" s="3" t="s">
        <v>271</v>
      </c>
      <c r="F159" s="3" t="s">
        <v>77</v>
      </c>
      <c r="G159" s="3">
        <v>194</v>
      </c>
      <c r="H159" s="3">
        <v>2499</v>
      </c>
      <c r="I159" s="3">
        <v>484806</v>
      </c>
      <c r="J159" s="3">
        <v>479722</v>
      </c>
      <c r="K159" s="3">
        <v>15</v>
      </c>
      <c r="L159" s="3">
        <v>2</v>
      </c>
      <c r="M159" s="3">
        <v>130805</v>
      </c>
      <c r="N159" s="3">
        <v>392742</v>
      </c>
    </row>
    <row r="160" spans="1:14" x14ac:dyDescent="0.3">
      <c r="A160" s="2" t="s">
        <v>272</v>
      </c>
      <c r="B160" s="2" t="s">
        <v>51</v>
      </c>
      <c r="C160" s="2" t="s">
        <v>60</v>
      </c>
      <c r="D160" s="2" t="s">
        <v>28</v>
      </c>
      <c r="E160" s="2" t="s">
        <v>29</v>
      </c>
      <c r="F160" s="2" t="s">
        <v>39</v>
      </c>
      <c r="G160" s="2">
        <v>77</v>
      </c>
      <c r="H160" s="2">
        <v>9999</v>
      </c>
      <c r="I160" s="2">
        <v>769923</v>
      </c>
      <c r="J160" s="2">
        <v>894513</v>
      </c>
      <c r="K160" s="2">
        <v>7.1</v>
      </c>
      <c r="L160" s="2">
        <v>6</v>
      </c>
      <c r="M160" s="2">
        <v>155159</v>
      </c>
      <c r="N160" s="2">
        <v>699508</v>
      </c>
    </row>
    <row r="161" spans="1:14" x14ac:dyDescent="0.3">
      <c r="A161" s="3" t="s">
        <v>273</v>
      </c>
      <c r="B161" s="3" t="s">
        <v>74</v>
      </c>
      <c r="C161" s="3" t="s">
        <v>93</v>
      </c>
      <c r="D161" s="3" t="s">
        <v>94</v>
      </c>
      <c r="E161" s="3" t="s">
        <v>185</v>
      </c>
      <c r="F161" s="3" t="s">
        <v>88</v>
      </c>
      <c r="G161" s="3">
        <v>31</v>
      </c>
      <c r="H161" s="3">
        <v>4999</v>
      </c>
      <c r="I161" s="3">
        <v>154969</v>
      </c>
      <c r="J161" s="3">
        <v>156988</v>
      </c>
      <c r="K161" s="3">
        <v>6.4</v>
      </c>
      <c r="L161" s="3">
        <v>1</v>
      </c>
      <c r="M161" s="3">
        <v>50456</v>
      </c>
      <c r="N161" s="3">
        <v>154522</v>
      </c>
    </row>
    <row r="162" spans="1:14" x14ac:dyDescent="0.3">
      <c r="A162" s="2" t="s">
        <v>274</v>
      </c>
      <c r="B162" s="2" t="s">
        <v>275</v>
      </c>
      <c r="C162" s="2" t="s">
        <v>138</v>
      </c>
      <c r="D162" s="2" t="s">
        <v>233</v>
      </c>
      <c r="E162" s="2" t="s">
        <v>185</v>
      </c>
      <c r="F162" s="2" t="s">
        <v>54</v>
      </c>
      <c r="G162" s="2">
        <v>45</v>
      </c>
      <c r="H162" s="2">
        <v>9999</v>
      </c>
      <c r="I162" s="2"/>
      <c r="J162" s="2">
        <v>393273</v>
      </c>
      <c r="K162" s="2">
        <v>3.9</v>
      </c>
      <c r="L162" s="2">
        <v>3</v>
      </c>
      <c r="M162" s="2">
        <v>80240</v>
      </c>
      <c r="N162" s="2">
        <v>467055</v>
      </c>
    </row>
    <row r="163" spans="1:14" x14ac:dyDescent="0.3">
      <c r="A163" s="3" t="s">
        <v>276</v>
      </c>
      <c r="B163" s="3" t="s">
        <v>37</v>
      </c>
      <c r="C163" s="3" t="s">
        <v>16</v>
      </c>
      <c r="D163" s="3" t="s">
        <v>21</v>
      </c>
      <c r="E163" s="3" t="s">
        <v>18</v>
      </c>
      <c r="F163" s="3" t="s">
        <v>57</v>
      </c>
      <c r="G163" s="3">
        <v>172</v>
      </c>
      <c r="H163" s="3">
        <v>24999</v>
      </c>
      <c r="I163" s="3">
        <v>4299828</v>
      </c>
      <c r="J163" s="3">
        <v>4572662</v>
      </c>
      <c r="K163" s="3">
        <v>1.8</v>
      </c>
      <c r="L163" s="3">
        <v>11</v>
      </c>
      <c r="M163" s="3">
        <v>656233</v>
      </c>
      <c r="N163" s="3">
        <v>3609046</v>
      </c>
    </row>
    <row r="164" spans="1:14" x14ac:dyDescent="0.3">
      <c r="A164" s="2" t="s">
        <v>277</v>
      </c>
      <c r="B164" s="2" t="s">
        <v>37</v>
      </c>
      <c r="C164" s="2" t="s">
        <v>16</v>
      </c>
      <c r="D164" s="2" t="s">
        <v>24</v>
      </c>
      <c r="E164" s="2" t="s">
        <v>22</v>
      </c>
      <c r="F164" s="2" t="s">
        <v>26</v>
      </c>
      <c r="G164" s="2">
        <v>64</v>
      </c>
      <c r="H164" s="2">
        <v>499</v>
      </c>
      <c r="I164" s="2">
        <v>31936</v>
      </c>
      <c r="J164" s="2">
        <v>29978</v>
      </c>
      <c r="K164" s="2">
        <v>3.5</v>
      </c>
      <c r="L164" s="2">
        <v>5</v>
      </c>
      <c r="M164" s="2">
        <v>9845</v>
      </c>
      <c r="N164" s="2">
        <v>35685</v>
      </c>
    </row>
    <row r="165" spans="1:14" x14ac:dyDescent="0.3">
      <c r="A165" s="3" t="s">
        <v>278</v>
      </c>
      <c r="B165" s="3" t="s">
        <v>51</v>
      </c>
      <c r="C165" s="3" t="s">
        <v>114</v>
      </c>
      <c r="D165" s="3" t="s">
        <v>111</v>
      </c>
      <c r="E165" s="3" t="s">
        <v>279</v>
      </c>
      <c r="F165" s="3" t="s">
        <v>54</v>
      </c>
      <c r="G165" s="3">
        <v>-66</v>
      </c>
      <c r="H165" s="3">
        <v>4999</v>
      </c>
      <c r="I165" s="3">
        <v>329934</v>
      </c>
      <c r="J165" s="3">
        <v>387482</v>
      </c>
      <c r="K165" s="3">
        <v>11.4</v>
      </c>
      <c r="L165" s="3">
        <v>2</v>
      </c>
      <c r="M165" s="3">
        <v>106501</v>
      </c>
      <c r="N165" s="3">
        <v>283516</v>
      </c>
    </row>
    <row r="166" spans="1:14" x14ac:dyDescent="0.3">
      <c r="A166" s="2" t="s">
        <v>280</v>
      </c>
      <c r="B166" s="2" t="s">
        <v>281</v>
      </c>
      <c r="C166" s="2" t="s">
        <v>138</v>
      </c>
      <c r="D166" s="2" t="s">
        <v>45</v>
      </c>
      <c r="E166" s="2" t="s">
        <v>279</v>
      </c>
      <c r="F166" s="2" t="s">
        <v>54</v>
      </c>
      <c r="G166" s="2">
        <v>143</v>
      </c>
      <c r="H166" s="2">
        <v>999</v>
      </c>
      <c r="I166" s="2">
        <v>142857</v>
      </c>
      <c r="J166" s="2">
        <v>150682</v>
      </c>
      <c r="K166" s="2">
        <v>5.9</v>
      </c>
      <c r="L166" s="2">
        <v>8</v>
      </c>
      <c r="M166" s="2">
        <v>49873</v>
      </c>
      <c r="N166" s="2">
        <v>162146</v>
      </c>
    </row>
    <row r="167" spans="1:14" x14ac:dyDescent="0.3">
      <c r="A167" s="3" t="s">
        <v>282</v>
      </c>
      <c r="B167" s="3" t="s">
        <v>142</v>
      </c>
      <c r="C167" s="3" t="s">
        <v>194</v>
      </c>
      <c r="D167" s="3" t="s">
        <v>45</v>
      </c>
      <c r="E167" s="3" t="s">
        <v>53</v>
      </c>
      <c r="F167" s="3" t="s">
        <v>88</v>
      </c>
      <c r="G167" s="3">
        <v>53</v>
      </c>
      <c r="H167" s="3">
        <v>14999</v>
      </c>
      <c r="I167" s="3">
        <v>794947</v>
      </c>
      <c r="J167" s="3">
        <v>872693</v>
      </c>
      <c r="K167" s="3">
        <v>12.2</v>
      </c>
      <c r="L167" s="3">
        <v>2</v>
      </c>
      <c r="M167" s="3">
        <v>270647</v>
      </c>
      <c r="N167" s="3">
        <v>885849</v>
      </c>
    </row>
    <row r="168" spans="1:14" x14ac:dyDescent="0.3">
      <c r="A168" s="2" t="s">
        <v>283</v>
      </c>
      <c r="B168" s="2" t="s">
        <v>37</v>
      </c>
      <c r="C168" s="2" t="s">
        <v>38</v>
      </c>
      <c r="D168" s="2" t="s">
        <v>21</v>
      </c>
      <c r="E168" s="2" t="s">
        <v>22</v>
      </c>
      <c r="F168" s="2" t="s">
        <v>39</v>
      </c>
      <c r="G168" s="2">
        <v>66</v>
      </c>
      <c r="H168" s="2">
        <v>9999</v>
      </c>
      <c r="I168" s="2">
        <v>659934</v>
      </c>
      <c r="J168" s="2">
        <v>584301</v>
      </c>
      <c r="K168" s="2">
        <v>13.6</v>
      </c>
      <c r="L168" s="2">
        <v>5</v>
      </c>
      <c r="M168" s="2">
        <v>173956</v>
      </c>
      <c r="N168" s="2">
        <v>702721</v>
      </c>
    </row>
    <row r="169" spans="1:14" x14ac:dyDescent="0.3">
      <c r="A169" s="3" t="s">
        <v>284</v>
      </c>
      <c r="B169" s="3" t="s">
        <v>81</v>
      </c>
      <c r="C169" s="3" t="s">
        <v>60</v>
      </c>
      <c r="D169" s="3" t="s">
        <v>33</v>
      </c>
      <c r="E169" s="3" t="s">
        <v>185</v>
      </c>
      <c r="F169" s="3" t="s">
        <v>84</v>
      </c>
      <c r="G169" s="3">
        <v>93</v>
      </c>
      <c r="H169" s="3">
        <v>14999</v>
      </c>
      <c r="I169" s="3">
        <v>1394907</v>
      </c>
      <c r="J169" s="3">
        <v>1266370</v>
      </c>
      <c r="K169" s="3">
        <v>8.9</v>
      </c>
      <c r="L169" s="3">
        <v>3</v>
      </c>
      <c r="M169" s="3">
        <v>372886</v>
      </c>
      <c r="N169" s="3">
        <v>1375676</v>
      </c>
    </row>
    <row r="170" spans="1:14" x14ac:dyDescent="0.3">
      <c r="A170" s="2" t="s">
        <v>285</v>
      </c>
      <c r="B170" s="2" t="s">
        <v>37</v>
      </c>
      <c r="C170" s="2" t="s">
        <v>38</v>
      </c>
      <c r="D170" s="2" t="s">
        <v>28</v>
      </c>
      <c r="E170" s="2" t="s">
        <v>18</v>
      </c>
      <c r="F170" s="2" t="s">
        <v>19</v>
      </c>
      <c r="G170" s="2">
        <v>195</v>
      </c>
      <c r="H170" s="2">
        <v>1499</v>
      </c>
      <c r="I170" s="2">
        <v>292305</v>
      </c>
      <c r="J170" s="2">
        <v>262622</v>
      </c>
      <c r="K170" s="2">
        <v>10.3</v>
      </c>
      <c r="L170" s="2">
        <v>5</v>
      </c>
      <c r="M170" s="2">
        <v>63302</v>
      </c>
      <c r="N170" s="2">
        <v>323467</v>
      </c>
    </row>
    <row r="171" spans="1:14" x14ac:dyDescent="0.3">
      <c r="A171" s="3" t="s">
        <v>286</v>
      </c>
      <c r="B171" s="3" t="s">
        <v>37</v>
      </c>
      <c r="C171" s="3" t="s">
        <v>38</v>
      </c>
      <c r="D171" s="3" t="s">
        <v>45</v>
      </c>
      <c r="E171" s="3" t="s">
        <v>22</v>
      </c>
      <c r="F171" s="3" t="s">
        <v>61</v>
      </c>
      <c r="G171" s="3">
        <v>-42</v>
      </c>
      <c r="H171" s="3">
        <v>14999</v>
      </c>
      <c r="I171" s="3">
        <v>629958</v>
      </c>
      <c r="J171" s="3">
        <v>725940</v>
      </c>
      <c r="K171" s="3">
        <v>0.2</v>
      </c>
      <c r="L171" s="3">
        <v>0</v>
      </c>
      <c r="M171" s="3">
        <v>204856</v>
      </c>
      <c r="N171" s="3">
        <v>594683</v>
      </c>
    </row>
    <row r="172" spans="1:14" x14ac:dyDescent="0.3">
      <c r="A172" s="2" t="s">
        <v>287</v>
      </c>
      <c r="B172" s="2" t="s">
        <v>97</v>
      </c>
      <c r="C172" s="2" t="s">
        <v>75</v>
      </c>
      <c r="D172" s="2" t="s">
        <v>98</v>
      </c>
      <c r="E172" s="2" t="s">
        <v>271</v>
      </c>
      <c r="F172" s="2" t="s">
        <v>88</v>
      </c>
      <c r="G172" s="2">
        <v>-53</v>
      </c>
      <c r="H172" s="2">
        <v>24999</v>
      </c>
      <c r="I172" s="2">
        <v>1324947</v>
      </c>
      <c r="J172" s="2">
        <v>1174064</v>
      </c>
      <c r="K172" s="2">
        <v>6.1</v>
      </c>
      <c r="L172" s="2">
        <v>2</v>
      </c>
      <c r="M172" s="2">
        <v>293413</v>
      </c>
      <c r="N172" s="2">
        <v>1291345</v>
      </c>
    </row>
    <row r="173" spans="1:14" x14ac:dyDescent="0.3">
      <c r="A173" s="3" t="s">
        <v>288</v>
      </c>
      <c r="B173" s="3" t="s">
        <v>37</v>
      </c>
      <c r="C173" s="3" t="s">
        <v>48</v>
      </c>
      <c r="D173" s="3" t="s">
        <v>21</v>
      </c>
      <c r="E173" s="3" t="s">
        <v>46</v>
      </c>
      <c r="F173" s="3" t="s">
        <v>19</v>
      </c>
      <c r="G173" s="3">
        <v>40</v>
      </c>
      <c r="H173" s="3">
        <v>999</v>
      </c>
      <c r="I173" s="3">
        <v>39960</v>
      </c>
      <c r="J173" s="3">
        <v>35032</v>
      </c>
      <c r="K173" s="3">
        <v>7.6</v>
      </c>
      <c r="L173" s="3">
        <v>0</v>
      </c>
      <c r="M173" s="3">
        <v>7548</v>
      </c>
      <c r="N173" s="3">
        <v>43374</v>
      </c>
    </row>
    <row r="174" spans="1:14" x14ac:dyDescent="0.3">
      <c r="A174" s="2" t="s">
        <v>289</v>
      </c>
      <c r="B174" s="2" t="s">
        <v>37</v>
      </c>
      <c r="C174" s="2" t="s">
        <v>48</v>
      </c>
      <c r="D174" s="2" t="s">
        <v>24</v>
      </c>
      <c r="E174" s="2" t="s">
        <v>18</v>
      </c>
      <c r="F174" s="2" t="s">
        <v>19</v>
      </c>
      <c r="G174" s="2">
        <v>19</v>
      </c>
      <c r="H174" s="2">
        <v>499</v>
      </c>
      <c r="I174" s="2">
        <v>9481</v>
      </c>
      <c r="J174" s="2">
        <v>10989</v>
      </c>
      <c r="K174" s="2">
        <v>10.7</v>
      </c>
      <c r="L174" s="2">
        <v>0</v>
      </c>
      <c r="M174" s="2">
        <v>1662</v>
      </c>
      <c r="N174" s="2">
        <v>8796</v>
      </c>
    </row>
    <row r="175" spans="1:14" x14ac:dyDescent="0.3">
      <c r="A175" s="3" t="s">
        <v>290</v>
      </c>
      <c r="B175" s="3" t="s">
        <v>126</v>
      </c>
      <c r="C175" s="3" t="s">
        <v>138</v>
      </c>
      <c r="D175" s="3" t="s">
        <v>233</v>
      </c>
      <c r="E175" s="3" t="s">
        <v>95</v>
      </c>
      <c r="F175" s="3" t="s">
        <v>140</v>
      </c>
      <c r="G175" s="3">
        <v>20</v>
      </c>
      <c r="H175" s="3">
        <v>4999</v>
      </c>
      <c r="I175" s="3">
        <v>99980</v>
      </c>
      <c r="J175" s="3">
        <v>101470</v>
      </c>
      <c r="K175" s="3"/>
      <c r="L175" s="3">
        <v>0</v>
      </c>
      <c r="M175" s="3">
        <v>27630</v>
      </c>
      <c r="N175" s="3">
        <v>86492</v>
      </c>
    </row>
    <row r="176" spans="1:14" x14ac:dyDescent="0.3">
      <c r="A176" s="2" t="s">
        <v>291</v>
      </c>
      <c r="B176" s="2" t="s">
        <v>109</v>
      </c>
      <c r="C176" s="2" t="s">
        <v>66</v>
      </c>
      <c r="D176" s="2" t="s">
        <v>177</v>
      </c>
      <c r="E176" s="2" t="s">
        <v>139</v>
      </c>
      <c r="F176" s="2" t="s">
        <v>107</v>
      </c>
      <c r="G176" s="2">
        <v>89</v>
      </c>
      <c r="H176" s="2">
        <v>24999</v>
      </c>
      <c r="I176" s="2">
        <v>2224911</v>
      </c>
      <c r="J176" s="2">
        <v>2567367</v>
      </c>
      <c r="K176" s="2">
        <v>14.3</v>
      </c>
      <c r="L176" s="2">
        <v>6</v>
      </c>
      <c r="M176" s="2">
        <v>711063</v>
      </c>
      <c r="N176" s="2">
        <v>2285971</v>
      </c>
    </row>
    <row r="177" spans="1:14" x14ac:dyDescent="0.3">
      <c r="A177" s="3" t="s">
        <v>292</v>
      </c>
      <c r="B177" s="3" t="s">
        <v>37</v>
      </c>
      <c r="C177" s="3" t="s">
        <v>194</v>
      </c>
      <c r="D177" s="3" t="s">
        <v>265</v>
      </c>
      <c r="E177" s="3" t="s">
        <v>87</v>
      </c>
      <c r="F177" s="3" t="s">
        <v>77</v>
      </c>
      <c r="G177" s="3">
        <v>71</v>
      </c>
      <c r="H177" s="3">
        <v>999</v>
      </c>
      <c r="I177" s="3">
        <v>70929</v>
      </c>
      <c r="J177" s="3">
        <v>60474</v>
      </c>
      <c r="K177" s="3">
        <v>4</v>
      </c>
      <c r="L177" s="3">
        <v>0</v>
      </c>
      <c r="M177" s="3">
        <v>21160</v>
      </c>
      <c r="N177" s="3">
        <v>62592</v>
      </c>
    </row>
    <row r="178" spans="1:14" x14ac:dyDescent="0.3">
      <c r="A178" s="2" t="s">
        <v>293</v>
      </c>
      <c r="B178" s="2" t="s">
        <v>109</v>
      </c>
      <c r="C178" s="2" t="s">
        <v>114</v>
      </c>
      <c r="D178" s="2" t="s">
        <v>233</v>
      </c>
      <c r="E178" s="2" t="s">
        <v>189</v>
      </c>
      <c r="F178" s="2" t="s">
        <v>35</v>
      </c>
      <c r="G178" s="2">
        <v>93</v>
      </c>
      <c r="H178" s="2">
        <v>499</v>
      </c>
      <c r="I178" s="2">
        <v>46407</v>
      </c>
      <c r="J178" s="2">
        <v>54612</v>
      </c>
      <c r="K178" s="2">
        <v>5.9</v>
      </c>
      <c r="L178" s="2">
        <v>5</v>
      </c>
      <c r="M178" s="2">
        <v>15188</v>
      </c>
      <c r="N178" s="2">
        <v>43540</v>
      </c>
    </row>
    <row r="179" spans="1:14" x14ac:dyDescent="0.3">
      <c r="A179" s="3" t="s">
        <v>294</v>
      </c>
      <c r="B179" s="3" t="s">
        <v>37</v>
      </c>
      <c r="C179" s="3" t="s">
        <v>60</v>
      </c>
      <c r="D179" s="3" t="s">
        <v>24</v>
      </c>
      <c r="E179" s="3" t="s">
        <v>29</v>
      </c>
      <c r="F179" s="3" t="s">
        <v>57</v>
      </c>
      <c r="G179" s="3">
        <v>184</v>
      </c>
      <c r="H179" s="3">
        <v>9999</v>
      </c>
      <c r="I179" s="3">
        <v>1839816</v>
      </c>
      <c r="J179" s="3">
        <v>1660436</v>
      </c>
      <c r="K179" s="3">
        <v>14.2</v>
      </c>
      <c r="L179" s="3">
        <v>10</v>
      </c>
      <c r="M179" s="3">
        <v>447466</v>
      </c>
      <c r="N179" s="3">
        <v>1700485</v>
      </c>
    </row>
    <row r="180" spans="1:14" x14ac:dyDescent="0.3">
      <c r="A180" s="2" t="s">
        <v>295</v>
      </c>
      <c r="B180" s="2" t="s">
        <v>296</v>
      </c>
      <c r="C180" s="2" t="s">
        <v>184</v>
      </c>
      <c r="D180" s="2" t="s">
        <v>98</v>
      </c>
      <c r="E180" s="2" t="s">
        <v>22</v>
      </c>
      <c r="F180" s="2" t="s">
        <v>61</v>
      </c>
      <c r="G180" s="2">
        <v>65</v>
      </c>
      <c r="H180" s="2">
        <v>2499</v>
      </c>
      <c r="I180" s="2">
        <v>162435</v>
      </c>
      <c r="J180" s="2">
        <v>154210</v>
      </c>
      <c r="K180" s="2">
        <v>2.6</v>
      </c>
      <c r="L180" s="2">
        <v>0</v>
      </c>
      <c r="M180" s="2">
        <v>55192</v>
      </c>
      <c r="N180" s="2">
        <v>161268</v>
      </c>
    </row>
    <row r="181" spans="1:14" x14ac:dyDescent="0.3">
      <c r="A181" s="3" t="s">
        <v>297</v>
      </c>
      <c r="B181" s="3" t="s">
        <v>281</v>
      </c>
      <c r="C181" s="3" t="s">
        <v>32</v>
      </c>
      <c r="D181" s="3" t="s">
        <v>67</v>
      </c>
      <c r="E181" s="3" t="s">
        <v>95</v>
      </c>
      <c r="F181" s="3" t="s">
        <v>107</v>
      </c>
      <c r="G181" s="3">
        <v>189</v>
      </c>
      <c r="H181" s="3">
        <v>499</v>
      </c>
      <c r="I181" s="3">
        <v>94311</v>
      </c>
      <c r="J181" s="3">
        <v>94341</v>
      </c>
      <c r="K181" s="3">
        <v>2.1</v>
      </c>
      <c r="L181" s="3">
        <v>8</v>
      </c>
      <c r="M181" s="3">
        <v>30531</v>
      </c>
      <c r="N181" s="3">
        <v>89199</v>
      </c>
    </row>
    <row r="182" spans="1:14" x14ac:dyDescent="0.3">
      <c r="A182" s="2" t="s">
        <v>298</v>
      </c>
      <c r="B182" s="2" t="s">
        <v>92</v>
      </c>
      <c r="C182" s="2" t="s">
        <v>16</v>
      </c>
      <c r="D182" s="2" t="s">
        <v>17</v>
      </c>
      <c r="E182" s="2" t="s">
        <v>46</v>
      </c>
      <c r="F182" s="2" t="s">
        <v>61</v>
      </c>
      <c r="G182" s="2">
        <v>64</v>
      </c>
      <c r="H182" s="2">
        <v>4999</v>
      </c>
      <c r="I182" s="2">
        <v>319936</v>
      </c>
      <c r="J182" s="2">
        <v>292383</v>
      </c>
      <c r="K182" s="2">
        <v>7.6</v>
      </c>
      <c r="L182" s="2">
        <v>1</v>
      </c>
      <c r="M182" s="2">
        <v>86886</v>
      </c>
      <c r="N182" s="2">
        <v>318130</v>
      </c>
    </row>
    <row r="183" spans="1:14" x14ac:dyDescent="0.3">
      <c r="A183" s="3" t="s">
        <v>299</v>
      </c>
      <c r="B183" s="3" t="s">
        <v>31</v>
      </c>
      <c r="C183" s="3" t="s">
        <v>52</v>
      </c>
      <c r="D183" s="3" t="s">
        <v>98</v>
      </c>
      <c r="E183" s="3" t="s">
        <v>87</v>
      </c>
      <c r="F183" s="3" t="s">
        <v>88</v>
      </c>
      <c r="G183" s="3">
        <v>143</v>
      </c>
      <c r="H183" s="3">
        <v>14999</v>
      </c>
      <c r="I183" s="3"/>
      <c r="J183" s="3">
        <v>2514955</v>
      </c>
      <c r="K183" s="3">
        <v>2.6</v>
      </c>
      <c r="L183" s="3">
        <v>5</v>
      </c>
      <c r="M183" s="3">
        <v>693705</v>
      </c>
      <c r="N183" s="3">
        <v>2423348</v>
      </c>
    </row>
    <row r="184" spans="1:14" x14ac:dyDescent="0.3">
      <c r="A184" s="2" t="s">
        <v>300</v>
      </c>
      <c r="B184" s="2" t="s">
        <v>92</v>
      </c>
      <c r="C184" s="2" t="s">
        <v>16</v>
      </c>
      <c r="D184" s="2" t="s">
        <v>24</v>
      </c>
      <c r="E184" s="2" t="s">
        <v>22</v>
      </c>
      <c r="F184" s="2" t="s">
        <v>19</v>
      </c>
      <c r="G184" s="2">
        <v>50</v>
      </c>
      <c r="H184" s="2">
        <v>2499</v>
      </c>
      <c r="I184" s="2">
        <v>124950</v>
      </c>
      <c r="J184" s="2">
        <v>138960</v>
      </c>
      <c r="K184" s="2">
        <v>3.6</v>
      </c>
      <c r="L184" s="2">
        <v>0</v>
      </c>
      <c r="M184" s="2">
        <v>35661</v>
      </c>
      <c r="N184" s="2">
        <v>100864</v>
      </c>
    </row>
    <row r="185" spans="1:14" x14ac:dyDescent="0.3">
      <c r="A185" s="3" t="s">
        <v>301</v>
      </c>
      <c r="B185" s="3" t="s">
        <v>92</v>
      </c>
      <c r="C185" s="3" t="s">
        <v>16</v>
      </c>
      <c r="D185" s="3" t="s">
        <v>28</v>
      </c>
      <c r="E185" s="3" t="s">
        <v>18</v>
      </c>
      <c r="F185" s="3" t="s">
        <v>39</v>
      </c>
      <c r="G185" s="3">
        <v>151</v>
      </c>
      <c r="H185" s="3">
        <v>4999</v>
      </c>
      <c r="I185" s="3">
        <v>754849</v>
      </c>
      <c r="J185" s="3">
        <v>661677</v>
      </c>
      <c r="K185" s="3">
        <v>6.3</v>
      </c>
      <c r="L185" s="3">
        <v>10</v>
      </c>
      <c r="M185" s="3">
        <v>236436</v>
      </c>
      <c r="N185" s="3">
        <v>807629</v>
      </c>
    </row>
    <row r="186" spans="1:14" x14ac:dyDescent="0.3">
      <c r="A186" s="2" t="s">
        <v>302</v>
      </c>
      <c r="B186" s="2" t="s">
        <v>92</v>
      </c>
      <c r="C186" s="2" t="s">
        <v>16</v>
      </c>
      <c r="D186" s="2" t="s">
        <v>45</v>
      </c>
      <c r="E186" s="2" t="s">
        <v>18</v>
      </c>
      <c r="F186" s="2" t="s">
        <v>61</v>
      </c>
      <c r="G186" s="2">
        <v>78</v>
      </c>
      <c r="H186" s="2">
        <v>4999</v>
      </c>
      <c r="I186" s="2">
        <v>389922</v>
      </c>
      <c r="J186" s="2">
        <v>450880</v>
      </c>
      <c r="K186" s="2">
        <v>6.7</v>
      </c>
      <c r="L186" s="2">
        <v>3</v>
      </c>
      <c r="M186" s="2">
        <v>84939</v>
      </c>
      <c r="N186" s="2">
        <v>361516</v>
      </c>
    </row>
    <row r="187" spans="1:14" x14ac:dyDescent="0.3">
      <c r="A187" s="3" t="s">
        <v>303</v>
      </c>
      <c r="B187" s="3" t="s">
        <v>304</v>
      </c>
      <c r="C187" s="3" t="s">
        <v>60</v>
      </c>
      <c r="D187" s="3" t="s">
        <v>45</v>
      </c>
      <c r="E187" s="3" t="s">
        <v>185</v>
      </c>
      <c r="F187" s="3" t="s">
        <v>178</v>
      </c>
      <c r="G187" s="3">
        <v>167</v>
      </c>
      <c r="H187" s="3">
        <v>4999</v>
      </c>
      <c r="I187" s="3">
        <v>834833</v>
      </c>
      <c r="J187" s="3">
        <v>827838</v>
      </c>
      <c r="K187" s="3">
        <v>2.4</v>
      </c>
      <c r="L187" s="3">
        <v>1</v>
      </c>
      <c r="M187" s="3">
        <v>187548</v>
      </c>
      <c r="N187" s="3">
        <v>697318</v>
      </c>
    </row>
    <row r="188" spans="1:14" x14ac:dyDescent="0.3">
      <c r="A188" s="2" t="s">
        <v>305</v>
      </c>
      <c r="B188" s="2" t="s">
        <v>92</v>
      </c>
      <c r="C188" s="2" t="s">
        <v>38</v>
      </c>
      <c r="D188" s="2" t="s">
        <v>21</v>
      </c>
      <c r="E188" s="2" t="s">
        <v>18</v>
      </c>
      <c r="F188" s="2" t="s">
        <v>26</v>
      </c>
      <c r="G188" s="2">
        <v>101</v>
      </c>
      <c r="H188" s="2">
        <v>24999</v>
      </c>
      <c r="I188" s="2">
        <v>2524899</v>
      </c>
      <c r="J188" s="2">
        <v>2616738</v>
      </c>
      <c r="K188" s="2">
        <v>11.3</v>
      </c>
      <c r="L188" s="2">
        <v>1</v>
      </c>
      <c r="M188" s="2">
        <v>475358</v>
      </c>
      <c r="N188" s="2">
        <v>2362389</v>
      </c>
    </row>
    <row r="189" spans="1:14" x14ac:dyDescent="0.3">
      <c r="A189" s="3" t="s">
        <v>306</v>
      </c>
      <c r="B189" s="3" t="s">
        <v>92</v>
      </c>
      <c r="C189" s="3" t="s">
        <v>38</v>
      </c>
      <c r="D189" s="3" t="s">
        <v>24</v>
      </c>
      <c r="E189" s="3" t="s">
        <v>18</v>
      </c>
      <c r="F189" s="3" t="s">
        <v>61</v>
      </c>
      <c r="G189" s="3">
        <v>53</v>
      </c>
      <c r="H189" s="3">
        <v>24999</v>
      </c>
      <c r="I189" s="3">
        <v>1324947</v>
      </c>
      <c r="J189" s="3">
        <v>1439776</v>
      </c>
      <c r="K189" s="3">
        <v>14.4</v>
      </c>
      <c r="L189" s="3">
        <v>3</v>
      </c>
      <c r="M189" s="3">
        <v>454057</v>
      </c>
      <c r="N189" s="3">
        <v>1448414</v>
      </c>
    </row>
    <row r="190" spans="1:14" x14ac:dyDescent="0.3">
      <c r="A190" s="2" t="s">
        <v>307</v>
      </c>
      <c r="B190" s="2" t="s">
        <v>92</v>
      </c>
      <c r="C190" s="2" t="s">
        <v>38</v>
      </c>
      <c r="D190" s="2" t="s">
        <v>28</v>
      </c>
      <c r="E190" s="2" t="s">
        <v>18</v>
      </c>
      <c r="F190" s="2" t="s">
        <v>57</v>
      </c>
      <c r="G190" s="2">
        <v>32</v>
      </c>
      <c r="H190" s="2">
        <v>4999</v>
      </c>
      <c r="I190" s="2">
        <v>159968</v>
      </c>
      <c r="J190" s="2">
        <v>169040</v>
      </c>
      <c r="K190" s="2">
        <v>0.2</v>
      </c>
      <c r="L190" s="2">
        <v>1</v>
      </c>
      <c r="M190" s="2">
        <v>31034</v>
      </c>
      <c r="N190" s="2">
        <v>155846</v>
      </c>
    </row>
    <row r="191" spans="1:14" x14ac:dyDescent="0.3">
      <c r="A191" s="3" t="s">
        <v>308</v>
      </c>
      <c r="B191" s="3" t="s">
        <v>92</v>
      </c>
      <c r="C191" s="3" t="s">
        <v>38</v>
      </c>
      <c r="D191" s="3" t="s">
        <v>45</v>
      </c>
      <c r="E191" s="3" t="s">
        <v>46</v>
      </c>
      <c r="F191" s="3" t="s">
        <v>19</v>
      </c>
      <c r="G191" s="3">
        <v>100</v>
      </c>
      <c r="H191" s="3">
        <v>2499</v>
      </c>
      <c r="I191" s="3">
        <v>249900</v>
      </c>
      <c r="J191" s="3">
        <v>238235</v>
      </c>
      <c r="K191" s="3">
        <v>2.5</v>
      </c>
      <c r="L191" s="3">
        <v>3</v>
      </c>
      <c r="M191" s="3">
        <v>58150</v>
      </c>
      <c r="N191" s="3">
        <v>214907</v>
      </c>
    </row>
    <row r="192" spans="1:14" x14ac:dyDescent="0.3">
      <c r="A192" s="2" t="s">
        <v>309</v>
      </c>
      <c r="B192" s="2" t="s">
        <v>92</v>
      </c>
      <c r="C192" s="2" t="s">
        <v>48</v>
      </c>
      <c r="D192" s="2" t="s">
        <v>17</v>
      </c>
      <c r="E192" s="2" t="s">
        <v>25</v>
      </c>
      <c r="F192" s="2" t="s">
        <v>57</v>
      </c>
      <c r="G192" s="2">
        <v>97</v>
      </c>
      <c r="H192" s="2">
        <v>9999</v>
      </c>
      <c r="I192" s="2">
        <v>969903</v>
      </c>
      <c r="J192" s="2">
        <v>979306</v>
      </c>
      <c r="K192" s="2">
        <v>8.1999999999999993</v>
      </c>
      <c r="L192" s="2">
        <v>1</v>
      </c>
      <c r="M192" s="2">
        <v>288290</v>
      </c>
      <c r="N192" s="2">
        <v>800584</v>
      </c>
    </row>
    <row r="193" spans="1:14" x14ac:dyDescent="0.3">
      <c r="A193" s="3" t="s">
        <v>310</v>
      </c>
      <c r="B193" s="3" t="s">
        <v>92</v>
      </c>
      <c r="C193" s="3" t="s">
        <v>48</v>
      </c>
      <c r="D193" s="3" t="s">
        <v>21</v>
      </c>
      <c r="E193" s="3" t="s">
        <v>18</v>
      </c>
      <c r="F193" s="3" t="s">
        <v>61</v>
      </c>
      <c r="G193" s="3">
        <v>195</v>
      </c>
      <c r="H193" s="3">
        <v>999</v>
      </c>
      <c r="I193" s="3">
        <v>194805</v>
      </c>
      <c r="J193" s="3">
        <v>188735</v>
      </c>
      <c r="K193" s="3">
        <v>1.3</v>
      </c>
      <c r="L193" s="3">
        <v>11</v>
      </c>
      <c r="M193" s="3">
        <v>60072</v>
      </c>
      <c r="N193" s="3">
        <v>173480</v>
      </c>
    </row>
    <row r="194" spans="1:14" x14ac:dyDescent="0.3">
      <c r="A194" s="2" t="s">
        <v>311</v>
      </c>
      <c r="B194" s="2" t="s">
        <v>97</v>
      </c>
      <c r="C194" s="2" t="s">
        <v>66</v>
      </c>
      <c r="D194" s="2" t="s">
        <v>102</v>
      </c>
      <c r="E194" s="2" t="s">
        <v>271</v>
      </c>
      <c r="F194" s="2" t="s">
        <v>190</v>
      </c>
      <c r="G194" s="2">
        <v>163</v>
      </c>
      <c r="H194" s="2">
        <v>4999</v>
      </c>
      <c r="I194" s="2">
        <v>814837</v>
      </c>
      <c r="J194" s="2">
        <v>856990</v>
      </c>
      <c r="K194" s="2">
        <v>1.9</v>
      </c>
      <c r="L194" s="2">
        <v>9</v>
      </c>
      <c r="M194" s="2">
        <v>122773</v>
      </c>
      <c r="N194" s="2">
        <v>901214</v>
      </c>
    </row>
    <row r="195" spans="1:14" x14ac:dyDescent="0.3">
      <c r="A195" s="3" t="s">
        <v>312</v>
      </c>
      <c r="B195" s="3" t="s">
        <v>105</v>
      </c>
      <c r="C195" s="3" t="s">
        <v>114</v>
      </c>
      <c r="D195" s="3" t="s">
        <v>45</v>
      </c>
      <c r="E195" s="3" t="s">
        <v>95</v>
      </c>
      <c r="F195" s="3" t="s">
        <v>140</v>
      </c>
      <c r="G195" s="3">
        <v>34</v>
      </c>
      <c r="H195" s="3">
        <v>4999</v>
      </c>
      <c r="I195" s="3">
        <v>169966</v>
      </c>
      <c r="J195" s="3">
        <v>201362</v>
      </c>
      <c r="K195" s="3">
        <v>2</v>
      </c>
      <c r="L195" s="3">
        <v>0</v>
      </c>
      <c r="M195" s="3">
        <v>36798</v>
      </c>
      <c r="N195" s="3">
        <v>170270</v>
      </c>
    </row>
    <row r="196" spans="1:14" x14ac:dyDescent="0.3">
      <c r="A196" s="2" t="s">
        <v>313</v>
      </c>
      <c r="B196" s="2" t="s">
        <v>109</v>
      </c>
      <c r="C196" s="2" t="s">
        <v>66</v>
      </c>
      <c r="D196" s="2" t="s">
        <v>117</v>
      </c>
      <c r="E196" s="2" t="s">
        <v>99</v>
      </c>
      <c r="F196" s="2" t="s">
        <v>103</v>
      </c>
      <c r="G196" s="2">
        <v>147</v>
      </c>
      <c r="H196" s="2">
        <v>9999</v>
      </c>
      <c r="I196" s="2">
        <v>1469853</v>
      </c>
      <c r="J196" s="2">
        <v>1417076</v>
      </c>
      <c r="K196" s="2">
        <v>12.5</v>
      </c>
      <c r="L196" s="2">
        <v>4</v>
      </c>
      <c r="M196" s="2">
        <v>309509</v>
      </c>
      <c r="N196" s="2">
        <v>1677462</v>
      </c>
    </row>
    <row r="197" spans="1:14" x14ac:dyDescent="0.3">
      <c r="A197" s="3" t="s">
        <v>314</v>
      </c>
      <c r="B197" s="3" t="s">
        <v>92</v>
      </c>
      <c r="C197" s="3" t="s">
        <v>60</v>
      </c>
      <c r="D197" s="3" t="s">
        <v>17</v>
      </c>
      <c r="E197" s="3" t="s">
        <v>18</v>
      </c>
      <c r="F197" s="3" t="s">
        <v>39</v>
      </c>
      <c r="G197" s="3">
        <v>23</v>
      </c>
      <c r="H197" s="3">
        <v>999</v>
      </c>
      <c r="I197" s="3">
        <v>22977</v>
      </c>
      <c r="J197" s="3">
        <v>21224</v>
      </c>
      <c r="K197" s="3">
        <v>1.9</v>
      </c>
      <c r="L197" s="3">
        <v>1</v>
      </c>
      <c r="M197" s="3">
        <v>3518</v>
      </c>
      <c r="N197" s="3">
        <v>19479</v>
      </c>
    </row>
    <row r="198" spans="1:14" x14ac:dyDescent="0.3">
      <c r="A198" s="2" t="s">
        <v>315</v>
      </c>
      <c r="B198" s="2" t="s">
        <v>253</v>
      </c>
      <c r="C198" s="2" t="s">
        <v>60</v>
      </c>
      <c r="D198" s="2" t="s">
        <v>21</v>
      </c>
      <c r="E198" s="2" t="s">
        <v>25</v>
      </c>
      <c r="F198" s="2" t="s">
        <v>61</v>
      </c>
      <c r="G198" s="2">
        <v>154</v>
      </c>
      <c r="H198" s="2">
        <v>24999</v>
      </c>
      <c r="I198" s="2">
        <v>3849846</v>
      </c>
      <c r="J198" s="2">
        <v>3660669</v>
      </c>
      <c r="K198" s="2">
        <v>8.6999999999999993</v>
      </c>
      <c r="L198" s="2">
        <v>7</v>
      </c>
      <c r="M198" s="2"/>
      <c r="N198" s="2">
        <v>3517034</v>
      </c>
    </row>
    <row r="199" spans="1:14" x14ac:dyDescent="0.3">
      <c r="A199" s="3" t="s">
        <v>316</v>
      </c>
      <c r="B199" s="3" t="s">
        <v>63</v>
      </c>
      <c r="C199" s="3" t="s">
        <v>82</v>
      </c>
      <c r="D199" s="3" t="s">
        <v>134</v>
      </c>
      <c r="E199" s="3" t="s">
        <v>53</v>
      </c>
      <c r="F199" s="3" t="s">
        <v>317</v>
      </c>
      <c r="G199" s="3">
        <v>188</v>
      </c>
      <c r="H199" s="3">
        <v>499</v>
      </c>
      <c r="I199" s="3">
        <v>93812</v>
      </c>
      <c r="J199" s="3">
        <v>89079</v>
      </c>
      <c r="K199" s="3">
        <v>10.9</v>
      </c>
      <c r="L199" s="3">
        <v>9</v>
      </c>
      <c r="M199" s="3">
        <v>27615</v>
      </c>
      <c r="N199" s="3">
        <v>78811</v>
      </c>
    </row>
    <row r="200" spans="1:14" x14ac:dyDescent="0.3">
      <c r="A200" s="2" t="s">
        <v>318</v>
      </c>
      <c r="B200" s="2" t="s">
        <v>92</v>
      </c>
      <c r="C200" s="2" t="s">
        <v>60</v>
      </c>
      <c r="D200" s="2" t="s">
        <v>28</v>
      </c>
      <c r="E200" s="2" t="s">
        <v>46</v>
      </c>
      <c r="F200" s="2" t="s">
        <v>57</v>
      </c>
      <c r="G200" s="2">
        <v>195</v>
      </c>
      <c r="H200" s="2">
        <v>1499</v>
      </c>
      <c r="I200" s="2">
        <v>292305</v>
      </c>
      <c r="J200" s="2">
        <v>304939</v>
      </c>
      <c r="K200" s="2">
        <v>11.1</v>
      </c>
      <c r="L200" s="2">
        <v>14</v>
      </c>
      <c r="M200" s="2">
        <v>82392</v>
      </c>
      <c r="N200" s="2">
        <v>297639</v>
      </c>
    </row>
    <row r="201" spans="1:14" x14ac:dyDescent="0.3">
      <c r="A201" s="3" t="s">
        <v>319</v>
      </c>
      <c r="B201" s="3" t="s">
        <v>92</v>
      </c>
      <c r="C201" s="3" t="s">
        <v>60</v>
      </c>
      <c r="D201" s="3" t="s">
        <v>45</v>
      </c>
      <c r="E201" s="3" t="s">
        <v>46</v>
      </c>
      <c r="F201" s="3" t="s">
        <v>57</v>
      </c>
      <c r="G201" s="3">
        <v>79</v>
      </c>
      <c r="H201" s="3">
        <v>24999</v>
      </c>
      <c r="I201" s="3">
        <v>1974921</v>
      </c>
      <c r="J201" s="3">
        <v>2030561</v>
      </c>
      <c r="K201" s="3">
        <v>12.3</v>
      </c>
      <c r="L201" s="3">
        <v>6</v>
      </c>
      <c r="M201" s="3">
        <v>594199</v>
      </c>
      <c r="N201" s="3">
        <v>2138590</v>
      </c>
    </row>
    <row r="202" spans="1:14" x14ac:dyDescent="0.3">
      <c r="A202" s="2" t="s">
        <v>320</v>
      </c>
      <c r="B202" s="2" t="s">
        <v>183</v>
      </c>
      <c r="C202" s="2" t="s">
        <v>16</v>
      </c>
      <c r="D202" s="2" t="s">
        <v>17</v>
      </c>
      <c r="E202" s="2" t="s">
        <v>25</v>
      </c>
      <c r="F202" s="2" t="s">
        <v>57</v>
      </c>
      <c r="G202" s="2">
        <v>200</v>
      </c>
      <c r="H202" s="2">
        <v>499</v>
      </c>
      <c r="I202" s="2">
        <v>99800</v>
      </c>
      <c r="J202" s="2">
        <v>118380</v>
      </c>
      <c r="K202" s="2">
        <v>14.7</v>
      </c>
      <c r="L202" s="2">
        <v>14</v>
      </c>
      <c r="M202" s="2">
        <v>25994</v>
      </c>
      <c r="N202" s="2">
        <v>87079</v>
      </c>
    </row>
    <row r="203" spans="1:14" x14ac:dyDescent="0.3">
      <c r="A203" s="3" t="s">
        <v>321</v>
      </c>
      <c r="B203" s="3" t="s">
        <v>183</v>
      </c>
      <c r="C203" s="3" t="s">
        <v>16</v>
      </c>
      <c r="D203" s="3" t="s">
        <v>21</v>
      </c>
      <c r="E203" s="3" t="s">
        <v>46</v>
      </c>
      <c r="F203" s="3" t="s">
        <v>57</v>
      </c>
      <c r="G203" s="3">
        <v>83</v>
      </c>
      <c r="H203" s="3">
        <v>4999</v>
      </c>
      <c r="I203" s="3">
        <v>414917</v>
      </c>
      <c r="J203" s="3">
        <v>472309</v>
      </c>
      <c r="K203" s="3">
        <v>4.0999999999999996</v>
      </c>
      <c r="L203" s="3">
        <v>3</v>
      </c>
      <c r="M203" s="3">
        <v>120703</v>
      </c>
      <c r="N203" s="3">
        <v>343480</v>
      </c>
    </row>
    <row r="204" spans="1:14" x14ac:dyDescent="0.3">
      <c r="A204" s="2" t="s">
        <v>322</v>
      </c>
      <c r="B204" s="2" t="s">
        <v>183</v>
      </c>
      <c r="C204" s="2" t="s">
        <v>16</v>
      </c>
      <c r="D204" s="2" t="s">
        <v>24</v>
      </c>
      <c r="E204" s="2" t="s">
        <v>29</v>
      </c>
      <c r="F204" s="2" t="s">
        <v>39</v>
      </c>
      <c r="G204" s="2">
        <v>178</v>
      </c>
      <c r="H204" s="2">
        <v>9999</v>
      </c>
      <c r="I204" s="2">
        <v>1779822</v>
      </c>
      <c r="J204" s="2">
        <v>2026766</v>
      </c>
      <c r="K204" s="2">
        <v>10.9</v>
      </c>
      <c r="L204" s="2">
        <v>2</v>
      </c>
      <c r="M204" s="2">
        <v>619066</v>
      </c>
      <c r="N204" s="2">
        <v>1778613</v>
      </c>
    </row>
    <row r="205" spans="1:14" x14ac:dyDescent="0.3">
      <c r="A205" s="3" t="s">
        <v>323</v>
      </c>
      <c r="B205" s="3" t="s">
        <v>183</v>
      </c>
      <c r="C205" s="3" t="s">
        <v>16</v>
      </c>
      <c r="D205" s="3" t="s">
        <v>28</v>
      </c>
      <c r="E205" s="3" t="s">
        <v>22</v>
      </c>
      <c r="F205" s="3" t="s">
        <v>26</v>
      </c>
      <c r="G205" s="3">
        <v>99</v>
      </c>
      <c r="H205" s="3">
        <v>9999</v>
      </c>
      <c r="I205" s="3">
        <v>989901</v>
      </c>
      <c r="J205" s="3">
        <v>1083286</v>
      </c>
      <c r="K205" s="3">
        <v>8.1999999999999993</v>
      </c>
      <c r="L205" s="3">
        <v>5</v>
      </c>
      <c r="M205" s="3">
        <v>255824</v>
      </c>
      <c r="N205" s="3">
        <v>859286</v>
      </c>
    </row>
    <row r="206" spans="1:14" x14ac:dyDescent="0.3">
      <c r="A206" s="2" t="s">
        <v>324</v>
      </c>
      <c r="B206" s="2" t="s">
        <v>101</v>
      </c>
      <c r="C206" s="2" t="s">
        <v>66</v>
      </c>
      <c r="D206" s="2" t="s">
        <v>83</v>
      </c>
      <c r="E206" s="2" t="s">
        <v>22</v>
      </c>
      <c r="F206" s="2" t="s">
        <v>61</v>
      </c>
      <c r="G206" s="2">
        <v>108</v>
      </c>
      <c r="H206" s="2">
        <v>999</v>
      </c>
      <c r="I206" s="2">
        <v>107892</v>
      </c>
      <c r="J206" s="2">
        <v>111814</v>
      </c>
      <c r="K206" s="2">
        <v>14.3</v>
      </c>
      <c r="L206" s="2">
        <v>3</v>
      </c>
      <c r="M206" s="2">
        <v>16841</v>
      </c>
      <c r="N206" s="2">
        <v>121548</v>
      </c>
    </row>
    <row r="207" spans="1:14" x14ac:dyDescent="0.3">
      <c r="A207" s="3" t="s">
        <v>325</v>
      </c>
      <c r="B207" s="3" t="s">
        <v>105</v>
      </c>
      <c r="C207" s="3" t="s">
        <v>114</v>
      </c>
      <c r="D207" s="3" t="s">
        <v>67</v>
      </c>
      <c r="E207" s="3" t="s">
        <v>95</v>
      </c>
      <c r="F207" s="3" t="s">
        <v>190</v>
      </c>
      <c r="G207" s="3">
        <v>162</v>
      </c>
      <c r="H207" s="3">
        <v>999</v>
      </c>
      <c r="I207" s="3">
        <v>161838</v>
      </c>
      <c r="J207" s="3">
        <v>178964</v>
      </c>
      <c r="K207" s="3">
        <v>0.3</v>
      </c>
      <c r="L207" s="3">
        <v>4</v>
      </c>
      <c r="M207" s="3">
        <v>28430</v>
      </c>
      <c r="N207" s="3">
        <v>163989</v>
      </c>
    </row>
    <row r="208" spans="1:14" x14ac:dyDescent="0.3">
      <c r="A208" s="2" t="s">
        <v>326</v>
      </c>
      <c r="B208" s="2" t="s">
        <v>183</v>
      </c>
      <c r="C208" s="2" t="s">
        <v>38</v>
      </c>
      <c r="D208" s="2" t="s">
        <v>21</v>
      </c>
      <c r="E208" s="2" t="s">
        <v>25</v>
      </c>
      <c r="F208" s="2" t="s">
        <v>26</v>
      </c>
      <c r="G208" s="2">
        <v>42</v>
      </c>
      <c r="H208" s="2">
        <v>4999</v>
      </c>
      <c r="I208" s="2">
        <v>209958</v>
      </c>
      <c r="J208" s="2">
        <v>194000</v>
      </c>
      <c r="K208" s="2">
        <v>5.3</v>
      </c>
      <c r="L208" s="2">
        <v>3</v>
      </c>
      <c r="M208" s="2"/>
      <c r="N208" s="2">
        <v>234503</v>
      </c>
    </row>
    <row r="209" spans="1:14" x14ac:dyDescent="0.3">
      <c r="A209" s="3" t="s">
        <v>327</v>
      </c>
      <c r="B209" s="3" t="s">
        <v>183</v>
      </c>
      <c r="C209" s="3" t="s">
        <v>38</v>
      </c>
      <c r="D209" s="3" t="s">
        <v>24</v>
      </c>
      <c r="E209" s="3" t="s">
        <v>46</v>
      </c>
      <c r="F209" s="3" t="s">
        <v>26</v>
      </c>
      <c r="G209" s="3">
        <v>80</v>
      </c>
      <c r="H209" s="3">
        <v>14999</v>
      </c>
      <c r="I209" s="3">
        <v>1199920</v>
      </c>
      <c r="J209" s="3">
        <v>1412090</v>
      </c>
      <c r="K209" s="3">
        <v>12</v>
      </c>
      <c r="L209" s="3">
        <v>2</v>
      </c>
      <c r="M209" s="3">
        <v>229089</v>
      </c>
      <c r="N209" s="3">
        <v>1314413</v>
      </c>
    </row>
    <row r="210" spans="1:14" x14ac:dyDescent="0.3">
      <c r="A210" s="2" t="s">
        <v>328</v>
      </c>
      <c r="B210" s="2" t="s">
        <v>130</v>
      </c>
      <c r="C210" s="2" t="s">
        <v>52</v>
      </c>
      <c r="D210" s="2" t="s">
        <v>98</v>
      </c>
      <c r="E210" s="2" t="s">
        <v>118</v>
      </c>
      <c r="F210" s="2" t="s">
        <v>77</v>
      </c>
      <c r="G210" s="2">
        <v>40</v>
      </c>
      <c r="H210" s="2">
        <v>4999</v>
      </c>
      <c r="I210" s="2">
        <v>199960</v>
      </c>
      <c r="J210" s="2">
        <v>188105</v>
      </c>
      <c r="K210" s="2">
        <v>5.3</v>
      </c>
      <c r="L210" s="2">
        <v>1</v>
      </c>
      <c r="M210" s="2">
        <v>36501</v>
      </c>
      <c r="N210" s="2">
        <v>215012</v>
      </c>
    </row>
    <row r="211" spans="1:14" x14ac:dyDescent="0.3">
      <c r="A211" s="3" t="s">
        <v>329</v>
      </c>
      <c r="B211" s="3" t="s">
        <v>183</v>
      </c>
      <c r="C211" s="3" t="s">
        <v>38</v>
      </c>
      <c r="D211" s="3" t="s">
        <v>45</v>
      </c>
      <c r="E211" s="3" t="s">
        <v>18</v>
      </c>
      <c r="F211" s="3" t="s">
        <v>61</v>
      </c>
      <c r="G211" s="3">
        <v>79</v>
      </c>
      <c r="H211" s="3">
        <v>499</v>
      </c>
      <c r="I211" s="3">
        <v>39421</v>
      </c>
      <c r="J211" s="3">
        <v>42473</v>
      </c>
      <c r="K211" s="3">
        <v>4.7</v>
      </c>
      <c r="L211" s="3">
        <v>4</v>
      </c>
      <c r="M211" s="3">
        <v>11502</v>
      </c>
      <c r="N211" s="3">
        <v>32027</v>
      </c>
    </row>
    <row r="212" spans="1:14" x14ac:dyDescent="0.3">
      <c r="A212" s="2" t="s">
        <v>330</v>
      </c>
      <c r="B212" s="2" t="s">
        <v>183</v>
      </c>
      <c r="C212" s="2" t="s">
        <v>48</v>
      </c>
      <c r="D212" s="2" t="s">
        <v>17</v>
      </c>
      <c r="E212" s="2" t="s">
        <v>22</v>
      </c>
      <c r="F212" s="2" t="s">
        <v>57</v>
      </c>
      <c r="G212" s="2">
        <v>83</v>
      </c>
      <c r="H212" s="2">
        <v>1499</v>
      </c>
      <c r="I212" s="2">
        <v>124417</v>
      </c>
      <c r="J212" s="2">
        <v>114107</v>
      </c>
      <c r="K212" s="2">
        <v>9.1</v>
      </c>
      <c r="L212" s="2">
        <v>0</v>
      </c>
      <c r="M212" s="2">
        <v>19389</v>
      </c>
      <c r="N212" s="2">
        <v>120644</v>
      </c>
    </row>
    <row r="213" spans="1:14" x14ac:dyDescent="0.3">
      <c r="A213" s="3" t="s">
        <v>331</v>
      </c>
      <c r="B213" s="3" t="s">
        <v>63</v>
      </c>
      <c r="C213" s="3" t="s">
        <v>75</v>
      </c>
      <c r="D213" s="3" t="s">
        <v>134</v>
      </c>
      <c r="E213" s="3" t="s">
        <v>68</v>
      </c>
      <c r="F213" s="3" t="s">
        <v>35</v>
      </c>
      <c r="G213" s="3">
        <v>128</v>
      </c>
      <c r="H213" s="3">
        <v>4999</v>
      </c>
      <c r="I213" s="3">
        <v>639872</v>
      </c>
      <c r="J213" s="3">
        <v>567147</v>
      </c>
      <c r="K213" s="3">
        <v>6.5</v>
      </c>
      <c r="L213" s="3">
        <v>6</v>
      </c>
      <c r="M213" s="3">
        <v>147603</v>
      </c>
      <c r="N213" s="3">
        <v>549386</v>
      </c>
    </row>
    <row r="214" spans="1:14" x14ac:dyDescent="0.3">
      <c r="A214" s="2" t="s">
        <v>332</v>
      </c>
      <c r="B214" s="2" t="s">
        <v>183</v>
      </c>
      <c r="C214" s="2" t="s">
        <v>48</v>
      </c>
      <c r="D214" s="2" t="s">
        <v>24</v>
      </c>
      <c r="E214" s="2" t="s">
        <v>25</v>
      </c>
      <c r="F214" s="2" t="s">
        <v>26</v>
      </c>
      <c r="G214" s="2">
        <v>103</v>
      </c>
      <c r="H214" s="2">
        <v>2499</v>
      </c>
      <c r="I214" s="2">
        <v>257397</v>
      </c>
      <c r="J214" s="2">
        <v>247835</v>
      </c>
      <c r="K214" s="2">
        <v>5.0999999999999996</v>
      </c>
      <c r="L214" s="2">
        <v>0</v>
      </c>
      <c r="M214" s="2">
        <v>46988</v>
      </c>
      <c r="N214" s="2">
        <v>244528</v>
      </c>
    </row>
    <row r="215" spans="1:14" x14ac:dyDescent="0.3">
      <c r="A215" s="3" t="s">
        <v>333</v>
      </c>
      <c r="B215" s="3" t="s">
        <v>187</v>
      </c>
      <c r="C215" s="3" t="s">
        <v>66</v>
      </c>
      <c r="D215" s="3" t="s">
        <v>67</v>
      </c>
      <c r="E215" s="3" t="s">
        <v>87</v>
      </c>
      <c r="F215" s="3" t="s">
        <v>140</v>
      </c>
      <c r="G215" s="3">
        <v>80</v>
      </c>
      <c r="H215" s="3">
        <v>9999</v>
      </c>
      <c r="I215" s="3">
        <v>799920</v>
      </c>
      <c r="J215" s="3">
        <v>915337</v>
      </c>
      <c r="K215" s="3">
        <v>13.1</v>
      </c>
      <c r="L215" s="3">
        <v>6</v>
      </c>
      <c r="M215" s="3"/>
      <c r="N215" s="3">
        <v>645644</v>
      </c>
    </row>
    <row r="216" spans="1:14" x14ac:dyDescent="0.3">
      <c r="A216" s="2" t="s">
        <v>334</v>
      </c>
      <c r="B216" s="2" t="s">
        <v>183</v>
      </c>
      <c r="C216" s="2" t="s">
        <v>48</v>
      </c>
      <c r="D216" s="2" t="s">
        <v>45</v>
      </c>
      <c r="E216" s="2" t="s">
        <v>25</v>
      </c>
      <c r="F216" s="2" t="s">
        <v>26</v>
      </c>
      <c r="G216" s="2">
        <v>-169</v>
      </c>
      <c r="H216" s="2">
        <v>2499</v>
      </c>
      <c r="I216" s="2">
        <v>422331</v>
      </c>
      <c r="J216" s="2">
        <v>410024</v>
      </c>
      <c r="K216" s="2">
        <v>3.8</v>
      </c>
      <c r="L216" s="2">
        <v>6</v>
      </c>
      <c r="M216" s="2">
        <v>120004</v>
      </c>
      <c r="N216" s="2">
        <v>423500</v>
      </c>
    </row>
    <row r="217" spans="1:14" x14ac:dyDescent="0.3">
      <c r="A217" s="3" t="s">
        <v>335</v>
      </c>
      <c r="B217" s="3" t="s">
        <v>183</v>
      </c>
      <c r="C217" s="3" t="s">
        <v>60</v>
      </c>
      <c r="D217" s="3" t="s">
        <v>17</v>
      </c>
      <c r="E217" s="3" t="s">
        <v>18</v>
      </c>
      <c r="F217" s="3" t="s">
        <v>39</v>
      </c>
      <c r="G217" s="3">
        <v>171</v>
      </c>
      <c r="H217" s="3">
        <v>1499</v>
      </c>
      <c r="I217" s="3">
        <v>256329</v>
      </c>
      <c r="J217" s="3">
        <v>284651</v>
      </c>
      <c r="K217" s="3">
        <v>5.8</v>
      </c>
      <c r="L217" s="3">
        <v>12</v>
      </c>
      <c r="M217" s="3">
        <v>75543</v>
      </c>
      <c r="N217" s="3">
        <v>249331</v>
      </c>
    </row>
    <row r="218" spans="1:14" x14ac:dyDescent="0.3">
      <c r="A218" s="2" t="s">
        <v>336</v>
      </c>
      <c r="B218" s="2" t="s">
        <v>164</v>
      </c>
      <c r="C218" s="2" t="s">
        <v>82</v>
      </c>
      <c r="D218" s="2" t="s">
        <v>102</v>
      </c>
      <c r="E218" s="2" t="s">
        <v>185</v>
      </c>
      <c r="F218" s="2" t="s">
        <v>77</v>
      </c>
      <c r="G218" s="2">
        <v>14</v>
      </c>
      <c r="H218" s="2">
        <v>4999</v>
      </c>
      <c r="I218" s="2">
        <v>69986</v>
      </c>
      <c r="J218" s="2">
        <v>77408</v>
      </c>
      <c r="K218" s="2">
        <v>10.3</v>
      </c>
      <c r="L218" s="2">
        <v>0</v>
      </c>
      <c r="M218" s="2">
        <v>21055</v>
      </c>
      <c r="N218" s="2">
        <v>76708</v>
      </c>
    </row>
    <row r="219" spans="1:14" x14ac:dyDescent="0.3">
      <c r="A219" s="3" t="s">
        <v>337</v>
      </c>
      <c r="B219" s="3" t="s">
        <v>183</v>
      </c>
      <c r="C219" s="3" t="s">
        <v>60</v>
      </c>
      <c r="D219" s="3" t="s">
        <v>24</v>
      </c>
      <c r="E219" s="3" t="s">
        <v>22</v>
      </c>
      <c r="F219" s="3" t="s">
        <v>39</v>
      </c>
      <c r="G219" s="3">
        <v>102</v>
      </c>
      <c r="H219" s="3">
        <v>9999</v>
      </c>
      <c r="I219" s="3">
        <v>1019898</v>
      </c>
      <c r="J219" s="3">
        <v>1209888</v>
      </c>
      <c r="K219" s="3">
        <v>2.7</v>
      </c>
      <c r="L219" s="3">
        <v>4</v>
      </c>
      <c r="M219" s="3">
        <v>259224</v>
      </c>
      <c r="N219" s="3">
        <v>878231</v>
      </c>
    </row>
    <row r="220" spans="1:14" x14ac:dyDescent="0.3">
      <c r="A220" s="2" t="s">
        <v>338</v>
      </c>
      <c r="B220" s="2" t="s">
        <v>63</v>
      </c>
      <c r="C220" s="2" t="s">
        <v>93</v>
      </c>
      <c r="D220" s="2" t="s">
        <v>94</v>
      </c>
      <c r="E220" s="2" t="s">
        <v>118</v>
      </c>
      <c r="F220" s="2" t="s">
        <v>103</v>
      </c>
      <c r="G220" s="2">
        <v>122</v>
      </c>
      <c r="H220" s="2">
        <v>1499</v>
      </c>
      <c r="I220" s="2">
        <v>182878</v>
      </c>
      <c r="J220" s="2">
        <v>161463</v>
      </c>
      <c r="K220" s="2">
        <v>1.5</v>
      </c>
      <c r="L220" s="2">
        <v>0</v>
      </c>
      <c r="M220" s="2">
        <v>35505</v>
      </c>
      <c r="N220" s="2">
        <v>161196</v>
      </c>
    </row>
    <row r="221" spans="1:14" x14ac:dyDescent="0.3">
      <c r="A221" s="3" t="s">
        <v>339</v>
      </c>
      <c r="B221" s="3" t="s">
        <v>183</v>
      </c>
      <c r="C221" s="3" t="s">
        <v>60</v>
      </c>
      <c r="D221" s="3" t="s">
        <v>45</v>
      </c>
      <c r="E221" s="3" t="s">
        <v>46</v>
      </c>
      <c r="F221" s="3" t="s">
        <v>39</v>
      </c>
      <c r="G221" s="3">
        <v>29</v>
      </c>
      <c r="H221" s="3">
        <v>9999</v>
      </c>
      <c r="I221" s="3">
        <v>289971</v>
      </c>
      <c r="J221" s="3">
        <v>301243</v>
      </c>
      <c r="K221" s="3">
        <v>6.5</v>
      </c>
      <c r="L221" s="3">
        <v>1</v>
      </c>
      <c r="M221" s="3">
        <v>94948</v>
      </c>
      <c r="N221" s="3">
        <v>241912</v>
      </c>
    </row>
    <row r="222" spans="1:14" x14ac:dyDescent="0.3">
      <c r="A222" s="2" t="s">
        <v>340</v>
      </c>
      <c r="B222" s="2" t="s">
        <v>86</v>
      </c>
      <c r="C222" s="2" t="s">
        <v>16</v>
      </c>
      <c r="D222" s="2" t="s">
        <v>17</v>
      </c>
      <c r="E222" s="2" t="s">
        <v>18</v>
      </c>
      <c r="F222" s="2" t="s">
        <v>19</v>
      </c>
      <c r="G222" s="2">
        <v>127</v>
      </c>
      <c r="H222" s="2">
        <v>9999</v>
      </c>
      <c r="I222" s="2">
        <v>1269873</v>
      </c>
      <c r="J222" s="2">
        <v>1448368</v>
      </c>
      <c r="K222" s="2">
        <v>10.5</v>
      </c>
      <c r="L222" s="2">
        <v>9</v>
      </c>
      <c r="M222" s="2">
        <v>371047</v>
      </c>
      <c r="N222" s="2">
        <v>1016497</v>
      </c>
    </row>
    <row r="223" spans="1:14" x14ac:dyDescent="0.3">
      <c r="A223" s="3" t="s">
        <v>341</v>
      </c>
      <c r="B223" s="3" t="s">
        <v>86</v>
      </c>
      <c r="C223" s="3" t="s">
        <v>16</v>
      </c>
      <c r="D223" s="3" t="s">
        <v>21</v>
      </c>
      <c r="E223" s="3" t="s">
        <v>22</v>
      </c>
      <c r="F223" s="3" t="s">
        <v>19</v>
      </c>
      <c r="G223" s="3">
        <v>32</v>
      </c>
      <c r="H223" s="3">
        <v>9999</v>
      </c>
      <c r="I223" s="3">
        <v>319968</v>
      </c>
      <c r="J223" s="3">
        <v>333179</v>
      </c>
      <c r="K223" s="3">
        <v>13.8</v>
      </c>
      <c r="L223" s="3">
        <v>2</v>
      </c>
      <c r="M223" s="3">
        <v>107905</v>
      </c>
      <c r="N223" s="3">
        <v>288498</v>
      </c>
    </row>
    <row r="224" spans="1:14" x14ac:dyDescent="0.3">
      <c r="A224" s="2" t="s">
        <v>342</v>
      </c>
      <c r="B224" s="2" t="s">
        <v>86</v>
      </c>
      <c r="C224" s="2" t="s">
        <v>16</v>
      </c>
      <c r="D224" s="2" t="s">
        <v>24</v>
      </c>
      <c r="E224" s="2" t="s">
        <v>29</v>
      </c>
      <c r="F224" s="2" t="s">
        <v>19</v>
      </c>
      <c r="G224" s="2">
        <v>105</v>
      </c>
      <c r="H224" s="2">
        <v>24999</v>
      </c>
      <c r="I224" s="2">
        <v>2624895</v>
      </c>
      <c r="J224" s="2">
        <v>2379736</v>
      </c>
      <c r="K224" s="2">
        <v>5.5</v>
      </c>
      <c r="L224" s="2">
        <v>1</v>
      </c>
      <c r="M224" s="2">
        <v>793810</v>
      </c>
      <c r="N224" s="2">
        <v>2818813</v>
      </c>
    </row>
    <row r="225" spans="1:14" x14ac:dyDescent="0.3">
      <c r="A225" s="3" t="s">
        <v>343</v>
      </c>
      <c r="B225" s="3" t="s">
        <v>86</v>
      </c>
      <c r="C225" s="3" t="s">
        <v>16</v>
      </c>
      <c r="D225" s="3" t="s">
        <v>28</v>
      </c>
      <c r="E225" s="3" t="s">
        <v>22</v>
      </c>
      <c r="F225" s="3" t="s">
        <v>19</v>
      </c>
      <c r="G225" s="3">
        <v>144</v>
      </c>
      <c r="H225" s="3">
        <v>999</v>
      </c>
      <c r="I225" s="3">
        <v>143856</v>
      </c>
      <c r="J225" s="3">
        <v>154524</v>
      </c>
      <c r="K225" s="3">
        <v>4.5999999999999996</v>
      </c>
      <c r="L225" s="3">
        <v>10</v>
      </c>
      <c r="M225" s="3">
        <v>39189</v>
      </c>
      <c r="N225" s="3">
        <v>162637</v>
      </c>
    </row>
    <row r="226" spans="1:14" x14ac:dyDescent="0.3">
      <c r="A226" s="2" t="s">
        <v>344</v>
      </c>
      <c r="B226" s="2" t="s">
        <v>86</v>
      </c>
      <c r="C226" s="2" t="s">
        <v>16</v>
      </c>
      <c r="D226" s="2" t="s">
        <v>45</v>
      </c>
      <c r="E226" s="2" t="s">
        <v>22</v>
      </c>
      <c r="F226" s="2" t="s">
        <v>39</v>
      </c>
      <c r="G226" s="2">
        <v>56</v>
      </c>
      <c r="H226" s="2">
        <v>9999</v>
      </c>
      <c r="I226" s="2">
        <v>559944</v>
      </c>
      <c r="J226" s="2">
        <v>570197</v>
      </c>
      <c r="K226" s="2">
        <v>15</v>
      </c>
      <c r="L226" s="2">
        <v>2</v>
      </c>
      <c r="M226" s="2">
        <v>111939</v>
      </c>
      <c r="N226" s="2">
        <v>457272</v>
      </c>
    </row>
    <row r="227" spans="1:14" x14ac:dyDescent="0.3">
      <c r="A227" s="3" t="s">
        <v>345</v>
      </c>
      <c r="B227" s="3" t="s">
        <v>86</v>
      </c>
      <c r="C227" s="3" t="s">
        <v>38</v>
      </c>
      <c r="D227" s="3" t="s">
        <v>17</v>
      </c>
      <c r="E227" s="3" t="s">
        <v>18</v>
      </c>
      <c r="F227" s="3" t="s">
        <v>19</v>
      </c>
      <c r="G227" s="3">
        <v>49</v>
      </c>
      <c r="H227" s="3">
        <v>1499</v>
      </c>
      <c r="I227" s="3"/>
      <c r="J227" s="3">
        <v>77812</v>
      </c>
      <c r="K227" s="3"/>
      <c r="L227" s="3">
        <v>3</v>
      </c>
      <c r="M227" s="3">
        <v>15050</v>
      </c>
      <c r="N227" s="3">
        <v>72008</v>
      </c>
    </row>
    <row r="228" spans="1:14" x14ac:dyDescent="0.3">
      <c r="A228" s="2" t="s">
        <v>346</v>
      </c>
      <c r="B228" s="2" t="s">
        <v>86</v>
      </c>
      <c r="C228" s="2" t="s">
        <v>38</v>
      </c>
      <c r="D228" s="2" t="s">
        <v>21</v>
      </c>
      <c r="E228" s="2" t="s">
        <v>22</v>
      </c>
      <c r="F228" s="2" t="s">
        <v>26</v>
      </c>
      <c r="G228" s="2">
        <v>88</v>
      </c>
      <c r="H228" s="2">
        <v>9999</v>
      </c>
      <c r="I228" s="2">
        <v>879912</v>
      </c>
      <c r="J228" s="2">
        <v>787781</v>
      </c>
      <c r="K228" s="2">
        <v>2.2000000000000002</v>
      </c>
      <c r="L228" s="2">
        <v>0</v>
      </c>
      <c r="M228" s="2">
        <v>288567</v>
      </c>
      <c r="N228" s="2">
        <v>899446</v>
      </c>
    </row>
    <row r="229" spans="1:14" x14ac:dyDescent="0.3">
      <c r="A229" s="3" t="s">
        <v>347</v>
      </c>
      <c r="B229" s="3" t="s">
        <v>86</v>
      </c>
      <c r="C229" s="3" t="s">
        <v>38</v>
      </c>
      <c r="D229" s="3" t="s">
        <v>24</v>
      </c>
      <c r="E229" s="3" t="s">
        <v>22</v>
      </c>
      <c r="F229" s="3" t="s">
        <v>19</v>
      </c>
      <c r="G229" s="3">
        <v>127</v>
      </c>
      <c r="H229" s="3">
        <v>24999</v>
      </c>
      <c r="I229" s="3">
        <v>3174873</v>
      </c>
      <c r="J229" s="3">
        <v>3054002</v>
      </c>
      <c r="K229" s="3">
        <v>3.9</v>
      </c>
      <c r="L229" s="3">
        <v>7</v>
      </c>
      <c r="M229" s="3">
        <v>646061</v>
      </c>
      <c r="N229" s="3">
        <v>3631500</v>
      </c>
    </row>
    <row r="230" spans="1:14" x14ac:dyDescent="0.3">
      <c r="A230" s="2" t="s">
        <v>348</v>
      </c>
      <c r="B230" s="2" t="s">
        <v>86</v>
      </c>
      <c r="C230" s="2" t="s">
        <v>38</v>
      </c>
      <c r="D230" s="2" t="s">
        <v>28</v>
      </c>
      <c r="E230" s="2" t="s">
        <v>46</v>
      </c>
      <c r="F230" s="2" t="s">
        <v>61</v>
      </c>
      <c r="G230" s="2">
        <v>116</v>
      </c>
      <c r="H230" s="2">
        <v>499</v>
      </c>
      <c r="I230" s="2">
        <v>57884</v>
      </c>
      <c r="J230" s="2">
        <v>52377</v>
      </c>
      <c r="K230" s="2">
        <v>14.7</v>
      </c>
      <c r="L230" s="2">
        <v>1</v>
      </c>
      <c r="M230" s="2">
        <v>16929</v>
      </c>
      <c r="N230" s="2">
        <v>48085</v>
      </c>
    </row>
    <row r="231" spans="1:14" x14ac:dyDescent="0.3">
      <c r="A231" s="3" t="s">
        <v>349</v>
      </c>
      <c r="B231" s="3" t="s">
        <v>86</v>
      </c>
      <c r="C231" s="3" t="s">
        <v>38</v>
      </c>
      <c r="D231" s="3" t="s">
        <v>45</v>
      </c>
      <c r="E231" s="3" t="s">
        <v>18</v>
      </c>
      <c r="F231" s="3" t="s">
        <v>39</v>
      </c>
      <c r="G231" s="3">
        <v>26</v>
      </c>
      <c r="H231" s="3">
        <v>24999</v>
      </c>
      <c r="I231" s="3">
        <v>649974</v>
      </c>
      <c r="J231" s="3">
        <v>609647</v>
      </c>
      <c r="K231" s="3">
        <v>3.6</v>
      </c>
      <c r="L231" s="3">
        <v>2</v>
      </c>
      <c r="M231" s="3">
        <v>168675</v>
      </c>
      <c r="N231" s="3">
        <v>684392</v>
      </c>
    </row>
    <row r="232" spans="1:14" x14ac:dyDescent="0.3">
      <c r="A232" s="2" t="s">
        <v>350</v>
      </c>
      <c r="B232" s="2" t="s">
        <v>86</v>
      </c>
      <c r="C232" s="2" t="s">
        <v>48</v>
      </c>
      <c r="D232" s="2" t="s">
        <v>17</v>
      </c>
      <c r="E232" s="2" t="s">
        <v>22</v>
      </c>
      <c r="F232" s="2" t="s">
        <v>26</v>
      </c>
      <c r="G232" s="2">
        <v>17</v>
      </c>
      <c r="H232" s="2">
        <v>1499</v>
      </c>
      <c r="I232" s="2">
        <v>25483</v>
      </c>
      <c r="J232" s="2">
        <v>27782</v>
      </c>
      <c r="K232" s="2">
        <v>4.9000000000000004</v>
      </c>
      <c r="L232" s="2">
        <v>1</v>
      </c>
      <c r="M232" s="2">
        <v>7229</v>
      </c>
      <c r="N232" s="2">
        <v>22667</v>
      </c>
    </row>
    <row r="233" spans="1:14" x14ac:dyDescent="0.3">
      <c r="A233" s="3" t="s">
        <v>351</v>
      </c>
      <c r="B233" s="3" t="s">
        <v>59</v>
      </c>
      <c r="C233" s="3" t="s">
        <v>48</v>
      </c>
      <c r="D233" s="3" t="s">
        <v>21</v>
      </c>
      <c r="E233" s="3" t="s">
        <v>29</v>
      </c>
      <c r="F233" s="3" t="s">
        <v>19</v>
      </c>
      <c r="G233" s="3">
        <v>160</v>
      </c>
      <c r="H233" s="3">
        <v>14999</v>
      </c>
      <c r="I233" s="3">
        <v>2399840</v>
      </c>
      <c r="J233" s="3">
        <v>2388452</v>
      </c>
      <c r="K233" s="3">
        <v>14.9</v>
      </c>
      <c r="L233" s="3">
        <v>2</v>
      </c>
      <c r="M233" s="3">
        <v>512198</v>
      </c>
      <c r="N233" s="3">
        <v>2603363</v>
      </c>
    </row>
    <row r="234" spans="1:14" x14ac:dyDescent="0.3">
      <c r="A234" s="2" t="s">
        <v>352</v>
      </c>
      <c r="B234" s="2" t="s">
        <v>187</v>
      </c>
      <c r="C234" s="2" t="s">
        <v>48</v>
      </c>
      <c r="D234" s="2" t="s">
        <v>24</v>
      </c>
      <c r="E234" s="2" t="s">
        <v>46</v>
      </c>
      <c r="F234" s="2" t="s">
        <v>39</v>
      </c>
      <c r="G234" s="2">
        <v>88</v>
      </c>
      <c r="H234" s="2">
        <v>14999</v>
      </c>
      <c r="I234" s="2">
        <v>1319912</v>
      </c>
      <c r="J234" s="2">
        <v>1134641</v>
      </c>
      <c r="K234" s="2">
        <v>7.4</v>
      </c>
      <c r="L234" s="2">
        <v>0</v>
      </c>
      <c r="M234" s="2">
        <v>283747</v>
      </c>
      <c r="N234" s="2">
        <v>1257099</v>
      </c>
    </row>
    <row r="235" spans="1:14" x14ac:dyDescent="0.3">
      <c r="A235" s="3" t="s">
        <v>353</v>
      </c>
      <c r="B235" s="3" t="s">
        <v>86</v>
      </c>
      <c r="C235" s="3" t="s">
        <v>194</v>
      </c>
      <c r="D235" s="3" t="s">
        <v>83</v>
      </c>
      <c r="E235" s="3" t="s">
        <v>76</v>
      </c>
      <c r="F235" s="3" t="s">
        <v>54</v>
      </c>
      <c r="G235" s="3">
        <v>23</v>
      </c>
      <c r="H235" s="3">
        <v>9999</v>
      </c>
      <c r="I235" s="3">
        <v>229977</v>
      </c>
      <c r="J235" s="3">
        <v>236574</v>
      </c>
      <c r="K235" s="3">
        <v>1</v>
      </c>
      <c r="L235" s="3">
        <v>0</v>
      </c>
      <c r="M235" s="3">
        <v>64320</v>
      </c>
      <c r="N235" s="3">
        <v>252886</v>
      </c>
    </row>
    <row r="236" spans="1:14" x14ac:dyDescent="0.3">
      <c r="A236" s="2" t="s">
        <v>354</v>
      </c>
      <c r="B236" s="2" t="s">
        <v>63</v>
      </c>
      <c r="C236" s="2" t="s">
        <v>82</v>
      </c>
      <c r="D236" s="2" t="s">
        <v>122</v>
      </c>
      <c r="E236" s="2" t="s">
        <v>76</v>
      </c>
      <c r="F236" s="2" t="s">
        <v>35</v>
      </c>
      <c r="G236" s="2">
        <v>78</v>
      </c>
      <c r="H236" s="2">
        <v>2499</v>
      </c>
      <c r="I236" s="2">
        <v>194922</v>
      </c>
      <c r="J236" s="2">
        <v>179833</v>
      </c>
      <c r="K236" s="2">
        <v>12.1</v>
      </c>
      <c r="L236" s="2">
        <v>3</v>
      </c>
      <c r="M236" s="2">
        <v>67942</v>
      </c>
      <c r="N236" s="2">
        <v>162457</v>
      </c>
    </row>
    <row r="237" spans="1:14" x14ac:dyDescent="0.3">
      <c r="A237" s="3" t="s">
        <v>355</v>
      </c>
      <c r="B237" s="3" t="s">
        <v>126</v>
      </c>
      <c r="C237" s="3" t="s">
        <v>114</v>
      </c>
      <c r="D237" s="3" t="s">
        <v>122</v>
      </c>
      <c r="E237" s="3" t="s">
        <v>189</v>
      </c>
      <c r="F237" s="3" t="s">
        <v>35</v>
      </c>
      <c r="G237" s="3">
        <v>33</v>
      </c>
      <c r="H237" s="3">
        <v>499</v>
      </c>
      <c r="I237" s="3">
        <v>16467</v>
      </c>
      <c r="J237" s="3">
        <v>15962</v>
      </c>
      <c r="K237" s="3">
        <v>1.8</v>
      </c>
      <c r="L237" s="3">
        <v>0</v>
      </c>
      <c r="M237" s="3">
        <v>3196</v>
      </c>
      <c r="N237" s="3">
        <v>13437</v>
      </c>
    </row>
    <row r="238" spans="1:14" x14ac:dyDescent="0.3">
      <c r="A238" s="2" t="s">
        <v>356</v>
      </c>
      <c r="B238" s="2" t="s">
        <v>86</v>
      </c>
      <c r="C238" s="2" t="s">
        <v>60</v>
      </c>
      <c r="D238" s="2" t="s">
        <v>21</v>
      </c>
      <c r="E238" s="2" t="s">
        <v>18</v>
      </c>
      <c r="F238" s="2" t="s">
        <v>19</v>
      </c>
      <c r="G238" s="2">
        <v>194</v>
      </c>
      <c r="H238" s="2">
        <v>4999</v>
      </c>
      <c r="I238" s="2">
        <v>969806</v>
      </c>
      <c r="J238" s="2">
        <v>905396</v>
      </c>
      <c r="K238" s="2">
        <v>14.7</v>
      </c>
      <c r="L238" s="2">
        <v>9</v>
      </c>
      <c r="M238" s="2">
        <v>200660</v>
      </c>
      <c r="N238" s="2">
        <v>857712</v>
      </c>
    </row>
    <row r="239" spans="1:14" x14ac:dyDescent="0.3">
      <c r="A239" s="3" t="s">
        <v>357</v>
      </c>
      <c r="B239" s="3" t="s">
        <v>86</v>
      </c>
      <c r="C239" s="3" t="s">
        <v>60</v>
      </c>
      <c r="D239" s="3" t="s">
        <v>24</v>
      </c>
      <c r="E239" s="3" t="s">
        <v>29</v>
      </c>
      <c r="F239" s="3" t="s">
        <v>26</v>
      </c>
      <c r="G239" s="3">
        <v>187</v>
      </c>
      <c r="H239" s="3">
        <v>4999</v>
      </c>
      <c r="I239" s="3">
        <v>934813</v>
      </c>
      <c r="J239" s="3">
        <v>965627</v>
      </c>
      <c r="K239" s="3"/>
      <c r="L239" s="3">
        <v>9</v>
      </c>
      <c r="M239" s="3">
        <v>229579</v>
      </c>
      <c r="N239" s="3">
        <v>953674</v>
      </c>
    </row>
    <row r="240" spans="1:14" x14ac:dyDescent="0.3">
      <c r="A240" s="2" t="s">
        <v>358</v>
      </c>
      <c r="B240" s="2" t="s">
        <v>86</v>
      </c>
      <c r="C240" s="2" t="s">
        <v>60</v>
      </c>
      <c r="D240" s="2" t="s">
        <v>28</v>
      </c>
      <c r="E240" s="2" t="s">
        <v>22</v>
      </c>
      <c r="F240" s="2" t="s">
        <v>26</v>
      </c>
      <c r="G240" s="2">
        <v>99</v>
      </c>
      <c r="H240" s="2">
        <v>9999</v>
      </c>
      <c r="I240" s="2">
        <v>989901</v>
      </c>
      <c r="J240" s="2">
        <v>1107404</v>
      </c>
      <c r="K240" s="2"/>
      <c r="L240" s="2">
        <v>1</v>
      </c>
      <c r="M240" s="2">
        <v>235084</v>
      </c>
      <c r="N240" s="2">
        <v>1077677</v>
      </c>
    </row>
    <row r="241" spans="1:14" x14ac:dyDescent="0.3">
      <c r="A241" s="3" t="s">
        <v>359</v>
      </c>
      <c r="B241" s="3" t="s">
        <v>63</v>
      </c>
      <c r="C241" s="3" t="s">
        <v>194</v>
      </c>
      <c r="D241" s="3" t="s">
        <v>177</v>
      </c>
      <c r="E241" s="3" t="s">
        <v>189</v>
      </c>
      <c r="F241" s="3" t="s">
        <v>317</v>
      </c>
      <c r="G241" s="3">
        <v>133</v>
      </c>
      <c r="H241" s="3">
        <v>1499</v>
      </c>
      <c r="I241" s="3">
        <v>199367</v>
      </c>
      <c r="J241" s="3">
        <v>238431</v>
      </c>
      <c r="K241" s="3">
        <v>13.3</v>
      </c>
      <c r="L241" s="3">
        <v>8</v>
      </c>
      <c r="M241" s="3">
        <v>52099</v>
      </c>
      <c r="N241" s="3">
        <v>165952</v>
      </c>
    </row>
    <row r="242" spans="1:14" x14ac:dyDescent="0.3">
      <c r="A242" s="4" t="s">
        <v>104</v>
      </c>
      <c r="B242" s="4" t="s">
        <v>105</v>
      </c>
      <c r="C242" s="4" t="s">
        <v>32</v>
      </c>
      <c r="D242" s="4" t="s">
        <v>94</v>
      </c>
      <c r="E242" s="4" t="s">
        <v>106</v>
      </c>
      <c r="F242" s="4" t="s">
        <v>107</v>
      </c>
      <c r="G242" s="4">
        <v>32</v>
      </c>
      <c r="H242" s="4">
        <v>14999</v>
      </c>
      <c r="I242" s="4">
        <v>479968</v>
      </c>
      <c r="J242" s="4">
        <v>484894</v>
      </c>
      <c r="K242" s="4">
        <v>1.3</v>
      </c>
      <c r="L242" s="4">
        <v>0</v>
      </c>
      <c r="M242" s="4">
        <v>155448</v>
      </c>
      <c r="N242" s="4">
        <v>398771</v>
      </c>
    </row>
    <row r="243" spans="1:14" x14ac:dyDescent="0.3">
      <c r="A243" s="4" t="s">
        <v>121</v>
      </c>
      <c r="B243" s="4" t="s">
        <v>92</v>
      </c>
      <c r="C243" s="4" t="s">
        <v>114</v>
      </c>
      <c r="D243" s="4" t="s">
        <v>122</v>
      </c>
      <c r="E243" s="4" t="s">
        <v>68</v>
      </c>
      <c r="F243" s="4" t="s">
        <v>69</v>
      </c>
      <c r="G243" s="4">
        <v>61</v>
      </c>
      <c r="H243" s="4">
        <v>24999</v>
      </c>
      <c r="I243" s="4">
        <v>1524939</v>
      </c>
      <c r="J243" s="4">
        <v>1561256</v>
      </c>
      <c r="K243" s="4">
        <v>10.8</v>
      </c>
      <c r="L243" s="4">
        <v>1</v>
      </c>
      <c r="M243" s="4">
        <v>450833</v>
      </c>
      <c r="N243" s="4">
        <v>1543998</v>
      </c>
    </row>
    <row r="244" spans="1:14" x14ac:dyDescent="0.3">
      <c r="A244" s="4" t="s">
        <v>132</v>
      </c>
      <c r="B244" s="4" t="s">
        <v>126</v>
      </c>
      <c r="C244" s="4" t="s">
        <v>38</v>
      </c>
      <c r="D244" s="4" t="s">
        <v>17</v>
      </c>
      <c r="E244" s="4" t="s">
        <v>22</v>
      </c>
      <c r="F244" s="4" t="s">
        <v>26</v>
      </c>
      <c r="G244" s="4">
        <v>-196</v>
      </c>
      <c r="H244" s="4">
        <v>2499</v>
      </c>
      <c r="I244" s="4">
        <v>489804</v>
      </c>
      <c r="J244" s="4">
        <v>438000</v>
      </c>
      <c r="K244" s="4">
        <v>11.8</v>
      </c>
      <c r="L244" s="4">
        <v>13</v>
      </c>
      <c r="M244" s="4">
        <v>166689</v>
      </c>
      <c r="N244" s="4">
        <v>551326</v>
      </c>
    </row>
    <row r="245" spans="1:14" x14ac:dyDescent="0.3">
      <c r="A245" s="4" t="s">
        <v>156</v>
      </c>
      <c r="B245" s="4" t="s">
        <v>31</v>
      </c>
      <c r="C245" s="4" t="s">
        <v>52</v>
      </c>
      <c r="D245" s="4" t="s">
        <v>98</v>
      </c>
      <c r="E245" s="4" t="s">
        <v>118</v>
      </c>
      <c r="F245" s="4" t="s">
        <v>77</v>
      </c>
      <c r="G245" s="4">
        <v>160</v>
      </c>
      <c r="H245" s="4">
        <v>14999</v>
      </c>
      <c r="I245" s="4">
        <v>2399840</v>
      </c>
      <c r="J245" s="4">
        <v>2793460</v>
      </c>
      <c r="K245" s="4">
        <v>9.1</v>
      </c>
      <c r="L245" s="4">
        <v>11</v>
      </c>
      <c r="M245" s="4">
        <v>441963</v>
      </c>
      <c r="N245" s="4">
        <v>2033961</v>
      </c>
    </row>
    <row r="246" spans="1:14" x14ac:dyDescent="0.3">
      <c r="A246" s="4" t="s">
        <v>225</v>
      </c>
      <c r="B246" s="4" t="s">
        <v>41</v>
      </c>
      <c r="C246" s="4" t="s">
        <v>60</v>
      </c>
      <c r="D246" s="4" t="s">
        <v>24</v>
      </c>
      <c r="E246" s="4" t="s">
        <v>18</v>
      </c>
      <c r="F246" s="4" t="s">
        <v>39</v>
      </c>
      <c r="G246" s="4">
        <v>189</v>
      </c>
      <c r="H246" s="4">
        <v>4999</v>
      </c>
      <c r="I246" s="4">
        <v>944811</v>
      </c>
      <c r="J246" s="4">
        <v>921309</v>
      </c>
      <c r="K246" s="4">
        <v>7.9</v>
      </c>
      <c r="L246" s="4">
        <v>6</v>
      </c>
      <c r="M246" s="4">
        <v>226839</v>
      </c>
      <c r="N246" s="4">
        <v>1013683</v>
      </c>
    </row>
    <row r="247" spans="1:14" x14ac:dyDescent="0.3">
      <c r="A247" s="4" t="s">
        <v>227</v>
      </c>
      <c r="B247" s="4" t="s">
        <v>41</v>
      </c>
      <c r="C247" s="4" t="s">
        <v>60</v>
      </c>
      <c r="D247" s="4" t="s">
        <v>45</v>
      </c>
      <c r="E247" s="4" t="s">
        <v>46</v>
      </c>
      <c r="F247" s="4" t="s">
        <v>61</v>
      </c>
      <c r="G247" s="4">
        <v>100</v>
      </c>
      <c r="H247" s="4">
        <v>9999</v>
      </c>
      <c r="I247" s="4">
        <v>999900</v>
      </c>
      <c r="J247" s="4">
        <v>1151075</v>
      </c>
      <c r="K247" s="4">
        <v>12.3</v>
      </c>
      <c r="L247" s="4">
        <v>4</v>
      </c>
      <c r="M247" s="4">
        <v>292189</v>
      </c>
      <c r="N247" s="4">
        <v>1076393</v>
      </c>
    </row>
    <row r="248" spans="1:14" x14ac:dyDescent="0.3">
      <c r="A248" s="4" t="s">
        <v>228</v>
      </c>
      <c r="B248" s="4" t="s">
        <v>142</v>
      </c>
      <c r="C248" s="4" t="s">
        <v>16</v>
      </c>
      <c r="D248" s="4" t="s">
        <v>17</v>
      </c>
      <c r="E248" s="4" t="s">
        <v>29</v>
      </c>
      <c r="F248" s="4" t="s">
        <v>19</v>
      </c>
      <c r="G248" s="4">
        <v>34</v>
      </c>
      <c r="H248" s="4">
        <v>499</v>
      </c>
      <c r="I248" s="4">
        <v>16966</v>
      </c>
      <c r="J248" s="4">
        <v>19182</v>
      </c>
      <c r="K248" s="4">
        <v>4.7</v>
      </c>
      <c r="L248" s="4">
        <v>1</v>
      </c>
      <c r="M248" s="4">
        <v>5589</v>
      </c>
      <c r="N248" s="4">
        <v>14874</v>
      </c>
    </row>
    <row r="249" spans="1:14" x14ac:dyDescent="0.3">
      <c r="A249" s="4" t="s">
        <v>240</v>
      </c>
      <c r="B249" s="4" t="s">
        <v>142</v>
      </c>
      <c r="C249" s="4" t="s">
        <v>48</v>
      </c>
      <c r="D249" s="4" t="s">
        <v>21</v>
      </c>
      <c r="E249" s="4" t="s">
        <v>29</v>
      </c>
      <c r="F249" s="4" t="s">
        <v>39</v>
      </c>
      <c r="G249" s="4">
        <v>151</v>
      </c>
      <c r="H249" s="4">
        <v>14999</v>
      </c>
      <c r="I249" s="4">
        <v>2264849</v>
      </c>
      <c r="J249" s="4">
        <v>2060473</v>
      </c>
      <c r="K249" s="4">
        <v>12.6</v>
      </c>
      <c r="L249" s="4">
        <v>12</v>
      </c>
      <c r="M249" s="4">
        <v>421729</v>
      </c>
      <c r="N249" s="4">
        <v>1972261</v>
      </c>
    </row>
    <row r="250" spans="1:14" x14ac:dyDescent="0.3">
      <c r="A250" s="4" t="s">
        <v>248</v>
      </c>
      <c r="B250" s="4" t="s">
        <v>142</v>
      </c>
      <c r="C250" s="4" t="s">
        <v>60</v>
      </c>
      <c r="D250" s="4" t="s">
        <v>45</v>
      </c>
      <c r="E250" s="4" t="s">
        <v>18</v>
      </c>
      <c r="F250" s="4" t="s">
        <v>61</v>
      </c>
      <c r="G250" s="4">
        <v>49</v>
      </c>
      <c r="H250" s="4">
        <v>14999</v>
      </c>
      <c r="I250" s="4">
        <v>734951</v>
      </c>
      <c r="J250" s="4">
        <v>782146</v>
      </c>
      <c r="K250" s="4">
        <v>11.1</v>
      </c>
      <c r="L250" s="4">
        <v>1</v>
      </c>
      <c r="M250" s="4">
        <v>186155</v>
      </c>
      <c r="N250" s="4">
        <v>721328</v>
      </c>
    </row>
    <row r="251" spans="1:14" x14ac:dyDescent="0.3">
      <c r="A251" s="4" t="s">
        <v>249</v>
      </c>
      <c r="B251" s="4" t="s">
        <v>51</v>
      </c>
      <c r="C251" s="4" t="s">
        <v>16</v>
      </c>
      <c r="D251" s="4" t="s">
        <v>17</v>
      </c>
      <c r="E251" s="4" t="s">
        <v>29</v>
      </c>
      <c r="F251" s="4" t="s">
        <v>39</v>
      </c>
      <c r="G251" s="4">
        <v>21</v>
      </c>
      <c r="H251" s="4">
        <v>14999</v>
      </c>
      <c r="I251" s="4">
        <v>314979</v>
      </c>
      <c r="J251" s="4">
        <v>329457</v>
      </c>
      <c r="K251" s="4">
        <v>6.6</v>
      </c>
      <c r="L251" s="4">
        <v>0</v>
      </c>
      <c r="M251" s="4">
        <v>82078</v>
      </c>
      <c r="N251" s="4">
        <v>337925</v>
      </c>
    </row>
    <row r="252" spans="1:14" x14ac:dyDescent="0.3">
      <c r="A252" s="4" t="s">
        <v>261</v>
      </c>
      <c r="B252" s="4" t="s">
        <v>41</v>
      </c>
      <c r="C252" s="4" t="s">
        <v>48</v>
      </c>
      <c r="D252" s="4" t="s">
        <v>17</v>
      </c>
      <c r="E252" s="4" t="s">
        <v>46</v>
      </c>
      <c r="F252" s="4" t="s">
        <v>19</v>
      </c>
      <c r="G252" s="4">
        <v>200</v>
      </c>
      <c r="H252" s="4">
        <v>24999</v>
      </c>
      <c r="I252" s="4">
        <v>4999800</v>
      </c>
      <c r="J252" s="4">
        <v>4301993</v>
      </c>
      <c r="K252" s="4">
        <v>2</v>
      </c>
      <c r="L252" s="4">
        <v>10</v>
      </c>
      <c r="M252" s="4">
        <v>1320433</v>
      </c>
      <c r="N252" s="4">
        <v>5370706</v>
      </c>
    </row>
    <row r="253" spans="1:14" x14ac:dyDescent="0.3">
      <c r="A253" s="4" t="s">
        <v>263</v>
      </c>
      <c r="B253" s="4" t="s">
        <v>264</v>
      </c>
      <c r="C253" s="4" t="s">
        <v>93</v>
      </c>
      <c r="D253" s="4" t="s">
        <v>265</v>
      </c>
      <c r="E253" s="4" t="s">
        <v>95</v>
      </c>
      <c r="F253" s="4" t="s">
        <v>103</v>
      </c>
      <c r="G253" s="4">
        <v>140</v>
      </c>
      <c r="H253" s="4">
        <v>2499</v>
      </c>
      <c r="I253" s="4">
        <v>349860</v>
      </c>
      <c r="J253" s="4">
        <v>326677</v>
      </c>
      <c r="K253" s="4">
        <v>4.5999999999999996</v>
      </c>
      <c r="L253" s="4">
        <v>7</v>
      </c>
      <c r="M253" s="4">
        <v>88953</v>
      </c>
      <c r="N253" s="4">
        <v>358302</v>
      </c>
    </row>
    <row r="254" spans="1:14" x14ac:dyDescent="0.3">
      <c r="A254" s="4" t="s">
        <v>273</v>
      </c>
      <c r="B254" s="4" t="s">
        <v>74</v>
      </c>
      <c r="C254" s="4" t="s">
        <v>93</v>
      </c>
      <c r="D254" s="4" t="s">
        <v>94</v>
      </c>
      <c r="E254" s="4" t="s">
        <v>185</v>
      </c>
      <c r="F254" s="4" t="s">
        <v>88</v>
      </c>
      <c r="G254" s="4">
        <v>31</v>
      </c>
      <c r="H254" s="4">
        <v>4999</v>
      </c>
      <c r="I254" s="4">
        <v>154969</v>
      </c>
      <c r="J254" s="4">
        <v>156988</v>
      </c>
      <c r="K254" s="4">
        <v>6.4</v>
      </c>
      <c r="L254" s="4">
        <v>1</v>
      </c>
      <c r="M254" s="4">
        <v>50456</v>
      </c>
      <c r="N254" s="4">
        <v>154522</v>
      </c>
    </row>
    <row r="255" spans="1:14" x14ac:dyDescent="0.3">
      <c r="A255" s="4" t="s">
        <v>287</v>
      </c>
      <c r="B255" s="4" t="s">
        <v>97</v>
      </c>
      <c r="C255" s="4" t="s">
        <v>75</v>
      </c>
      <c r="D255" s="4" t="s">
        <v>98</v>
      </c>
      <c r="E255" s="4" t="s">
        <v>271</v>
      </c>
      <c r="F255" s="4" t="s">
        <v>88</v>
      </c>
      <c r="G255" s="4">
        <v>-53</v>
      </c>
      <c r="H255" s="4">
        <v>24999</v>
      </c>
      <c r="I255" s="4">
        <v>1324947</v>
      </c>
      <c r="J255" s="4">
        <v>1174064</v>
      </c>
      <c r="K255" s="4">
        <v>6.1</v>
      </c>
      <c r="L255" s="4">
        <v>2</v>
      </c>
      <c r="M255" s="4">
        <v>293413</v>
      </c>
      <c r="N255" s="4">
        <v>1291345</v>
      </c>
    </row>
    <row r="256" spans="1:14" x14ac:dyDescent="0.3">
      <c r="A256" s="4" t="s">
        <v>310</v>
      </c>
      <c r="B256" s="4" t="s">
        <v>92</v>
      </c>
      <c r="C256" s="4" t="s">
        <v>48</v>
      </c>
      <c r="D256" s="4" t="s">
        <v>21</v>
      </c>
      <c r="E256" s="4" t="s">
        <v>18</v>
      </c>
      <c r="F256" s="4" t="s">
        <v>61</v>
      </c>
      <c r="G256" s="4">
        <v>195</v>
      </c>
      <c r="H256" s="4">
        <v>999</v>
      </c>
      <c r="I256" s="4">
        <v>194805</v>
      </c>
      <c r="J256" s="4">
        <v>188735</v>
      </c>
      <c r="K256" s="4">
        <v>1.3</v>
      </c>
      <c r="L256" s="4">
        <v>11</v>
      </c>
      <c r="M256" s="4">
        <v>60072</v>
      </c>
      <c r="N256" s="4">
        <v>173480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5BDF1-7480-467D-A17C-A89344334081}">
  <dimension ref="A3:C54"/>
  <sheetViews>
    <sheetView topLeftCell="C22" workbookViewId="0">
      <selection activeCell="P12" sqref="P12"/>
    </sheetView>
  </sheetViews>
  <sheetFormatPr defaultRowHeight="14.4" x14ac:dyDescent="0.3"/>
  <cols>
    <col min="1" max="1" width="12.5546875" bestFit="1" customWidth="1"/>
    <col min="2" max="2" width="21.109375" bestFit="1" customWidth="1"/>
    <col min="3" max="3" width="14" bestFit="1" customWidth="1"/>
  </cols>
  <sheetData>
    <row r="3" spans="1:3" x14ac:dyDescent="0.3">
      <c r="A3" s="25" t="s">
        <v>387</v>
      </c>
      <c r="B3" t="s">
        <v>389</v>
      </c>
      <c r="C3" t="s">
        <v>391</v>
      </c>
    </row>
    <row r="4" spans="1:3" x14ac:dyDescent="0.3">
      <c r="A4" s="26" t="s">
        <v>15</v>
      </c>
      <c r="B4" s="29">
        <v>8941742</v>
      </c>
      <c r="C4" s="29">
        <v>8630490</v>
      </c>
    </row>
    <row r="5" spans="1:3" x14ac:dyDescent="0.3">
      <c r="A5" s="26" t="s">
        <v>72</v>
      </c>
      <c r="B5" s="29">
        <v>4614956</v>
      </c>
      <c r="C5" s="29">
        <v>4440517</v>
      </c>
    </row>
    <row r="6" spans="1:3" x14ac:dyDescent="0.3">
      <c r="A6" s="26" t="s">
        <v>126</v>
      </c>
      <c r="B6" s="29">
        <v>19826973</v>
      </c>
      <c r="C6" s="29">
        <v>20744031</v>
      </c>
    </row>
    <row r="7" spans="1:3" x14ac:dyDescent="0.3">
      <c r="A7" s="26" t="s">
        <v>79</v>
      </c>
      <c r="B7" s="29">
        <v>17575296</v>
      </c>
      <c r="C7" s="29">
        <v>18950236</v>
      </c>
    </row>
    <row r="8" spans="1:3" x14ac:dyDescent="0.3">
      <c r="A8" s="26" t="s">
        <v>105</v>
      </c>
      <c r="B8" s="29">
        <v>12979953</v>
      </c>
      <c r="C8" s="29">
        <v>12977162</v>
      </c>
    </row>
    <row r="9" spans="1:3" x14ac:dyDescent="0.3">
      <c r="A9" s="26" t="s">
        <v>41</v>
      </c>
      <c r="B9" s="29">
        <v>14686213</v>
      </c>
      <c r="C9" s="29">
        <v>14528849</v>
      </c>
    </row>
    <row r="10" spans="1:3" x14ac:dyDescent="0.3">
      <c r="A10" s="26" t="s">
        <v>142</v>
      </c>
      <c r="B10" s="29">
        <v>19919625</v>
      </c>
      <c r="C10" s="29">
        <v>19300777</v>
      </c>
    </row>
    <row r="11" spans="1:3" x14ac:dyDescent="0.3">
      <c r="A11" s="26" t="s">
        <v>51</v>
      </c>
      <c r="B11" s="29">
        <v>17081689</v>
      </c>
      <c r="C11" s="29">
        <v>17960590</v>
      </c>
    </row>
    <row r="12" spans="1:3" x14ac:dyDescent="0.3">
      <c r="A12" s="26" t="s">
        <v>37</v>
      </c>
      <c r="B12" s="29">
        <v>21148188</v>
      </c>
      <c r="C12" s="29">
        <v>22528580</v>
      </c>
    </row>
    <row r="13" spans="1:3" x14ac:dyDescent="0.3">
      <c r="A13" s="26" t="s">
        <v>92</v>
      </c>
      <c r="B13" s="29">
        <v>12605924</v>
      </c>
      <c r="C13" s="29">
        <v>13132022</v>
      </c>
    </row>
    <row r="14" spans="1:3" x14ac:dyDescent="0.3">
      <c r="A14" s="26" t="s">
        <v>183</v>
      </c>
      <c r="B14" s="29">
        <v>7801366</v>
      </c>
      <c r="C14" s="29">
        <v>8579225</v>
      </c>
    </row>
    <row r="15" spans="1:3" x14ac:dyDescent="0.3">
      <c r="A15" s="26" t="s">
        <v>86</v>
      </c>
      <c r="B15" s="29">
        <v>19530045</v>
      </c>
      <c r="C15" s="29">
        <v>19741274</v>
      </c>
    </row>
    <row r="16" spans="1:3" x14ac:dyDescent="0.3">
      <c r="A16" s="26" t="s">
        <v>388</v>
      </c>
      <c r="B16" s="29">
        <v>176711970</v>
      </c>
      <c r="C16" s="29">
        <v>181513753</v>
      </c>
    </row>
    <row r="20" spans="1:3" x14ac:dyDescent="0.3">
      <c r="A20" s="25" t="s">
        <v>387</v>
      </c>
      <c r="B20" t="s">
        <v>389</v>
      </c>
      <c r="C20" t="s">
        <v>390</v>
      </c>
    </row>
    <row r="21" spans="1:3" x14ac:dyDescent="0.3">
      <c r="A21" s="26" t="s">
        <v>46</v>
      </c>
      <c r="B21" s="29">
        <v>33860932</v>
      </c>
      <c r="C21" s="29">
        <v>6772186.4000000022</v>
      </c>
    </row>
    <row r="22" spans="1:3" x14ac:dyDescent="0.3">
      <c r="A22" s="26" t="s">
        <v>29</v>
      </c>
      <c r="B22" s="29">
        <v>53478369</v>
      </c>
      <c r="C22" s="29">
        <v>10695673.799999999</v>
      </c>
    </row>
    <row r="23" spans="1:3" x14ac:dyDescent="0.3">
      <c r="A23" s="26" t="s">
        <v>22</v>
      </c>
      <c r="B23" s="29">
        <v>29794099</v>
      </c>
      <c r="C23" s="29">
        <v>5958819.7999999998</v>
      </c>
    </row>
    <row r="24" spans="1:3" x14ac:dyDescent="0.3">
      <c r="A24" s="26" t="s">
        <v>18</v>
      </c>
      <c r="B24" s="29">
        <v>28011707</v>
      </c>
      <c r="C24" s="29">
        <v>5602341.4000000004</v>
      </c>
    </row>
    <row r="25" spans="1:3" x14ac:dyDescent="0.3">
      <c r="A25" s="26" t="s">
        <v>25</v>
      </c>
      <c r="B25" s="29">
        <v>31566863</v>
      </c>
      <c r="C25" s="29">
        <v>6313372.5999999996</v>
      </c>
    </row>
    <row r="26" spans="1:3" x14ac:dyDescent="0.3">
      <c r="A26" s="26" t="s">
        <v>388</v>
      </c>
      <c r="B26" s="29">
        <v>176711970</v>
      </c>
      <c r="C26" s="29">
        <v>35342394.000000007</v>
      </c>
    </row>
    <row r="37" spans="1:3" x14ac:dyDescent="0.3">
      <c r="A37" s="25" t="s">
        <v>387</v>
      </c>
      <c r="B37" t="s">
        <v>389</v>
      </c>
    </row>
    <row r="38" spans="1:3" x14ac:dyDescent="0.3">
      <c r="A38" s="26" t="s">
        <v>48</v>
      </c>
      <c r="B38" s="29">
        <v>37459549</v>
      </c>
    </row>
    <row r="39" spans="1:3" x14ac:dyDescent="0.3">
      <c r="A39" s="26" t="s">
        <v>16</v>
      </c>
      <c r="B39" s="29">
        <v>47815660</v>
      </c>
    </row>
    <row r="40" spans="1:3" x14ac:dyDescent="0.3">
      <c r="A40" s="26" t="s">
        <v>38</v>
      </c>
      <c r="B40" s="29">
        <v>36282604</v>
      </c>
    </row>
    <row r="41" spans="1:3" x14ac:dyDescent="0.3">
      <c r="A41" s="26" t="s">
        <v>60</v>
      </c>
      <c r="B41" s="29">
        <v>55154157</v>
      </c>
    </row>
    <row r="42" spans="1:3" x14ac:dyDescent="0.3">
      <c r="A42" s="26" t="s">
        <v>388</v>
      </c>
      <c r="B42" s="29">
        <v>176711970</v>
      </c>
    </row>
    <row r="48" spans="1:3" x14ac:dyDescent="0.3">
      <c r="A48" s="25" t="s">
        <v>387</v>
      </c>
      <c r="B48" t="s">
        <v>389</v>
      </c>
      <c r="C48" t="s">
        <v>392</v>
      </c>
    </row>
    <row r="49" spans="1:3" x14ac:dyDescent="0.3">
      <c r="A49" s="26" t="s">
        <v>21</v>
      </c>
      <c r="B49" s="29">
        <v>45044810</v>
      </c>
      <c r="C49" s="29">
        <v>230</v>
      </c>
    </row>
    <row r="50" spans="1:3" x14ac:dyDescent="0.3">
      <c r="A50" s="26" t="s">
        <v>17</v>
      </c>
      <c r="B50" s="29">
        <v>36724543</v>
      </c>
      <c r="C50" s="29">
        <v>171</v>
      </c>
    </row>
    <row r="51" spans="1:3" x14ac:dyDescent="0.3">
      <c r="A51" s="26" t="s">
        <v>24</v>
      </c>
      <c r="B51" s="29">
        <v>35717377</v>
      </c>
      <c r="C51" s="29">
        <v>173</v>
      </c>
    </row>
    <row r="52" spans="1:3" x14ac:dyDescent="0.3">
      <c r="A52" s="26" t="s">
        <v>28</v>
      </c>
      <c r="B52" s="29">
        <v>26274569</v>
      </c>
      <c r="C52" s="29">
        <v>191</v>
      </c>
    </row>
    <row r="53" spans="1:3" x14ac:dyDescent="0.3">
      <c r="A53" s="26" t="s">
        <v>45</v>
      </c>
      <c r="B53" s="29">
        <v>32950671</v>
      </c>
      <c r="C53" s="29">
        <v>148</v>
      </c>
    </row>
    <row r="54" spans="1:3" x14ac:dyDescent="0.3">
      <c r="A54" s="26" t="s">
        <v>388</v>
      </c>
      <c r="B54" s="29">
        <v>176711970</v>
      </c>
      <c r="C54" s="29">
        <v>913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783B2-0EF0-4F75-A473-88124CEB6033}">
  <dimension ref="G2:H4"/>
  <sheetViews>
    <sheetView showGridLines="0" tabSelected="1" workbookViewId="0">
      <selection activeCell="D2" sqref="D2"/>
    </sheetView>
  </sheetViews>
  <sheetFormatPr defaultRowHeight="14.4" x14ac:dyDescent="0.3"/>
  <sheetData>
    <row r="2" spans="7:8" ht="18" x14ac:dyDescent="0.35">
      <c r="H2" s="27" t="s">
        <v>393</v>
      </c>
    </row>
    <row r="4" spans="7:8" ht="18" x14ac:dyDescent="0.35">
      <c r="G4" s="27" t="s">
        <v>394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4F1C-3E3D-4647-9683-6C779D5CCBCD}">
  <dimension ref="A1:N248"/>
  <sheetViews>
    <sheetView topLeftCell="A230" workbookViewId="0">
      <selection activeCell="K248" sqref="K248"/>
    </sheetView>
  </sheetViews>
  <sheetFormatPr defaultRowHeight="14.4" x14ac:dyDescent="0.3"/>
  <cols>
    <col min="1" max="1" width="10.77734375" customWidth="1"/>
    <col min="3" max="3" width="9" customWidth="1"/>
    <col min="4" max="4" width="10.88671875" customWidth="1"/>
    <col min="5" max="5" width="13.6640625" customWidth="1"/>
    <col min="6" max="6" width="16.6640625" customWidth="1"/>
    <col min="7" max="7" width="12.33203125" customWidth="1"/>
    <col min="8" max="8" width="16" customWidth="1"/>
    <col min="9" max="9" width="19.77734375" bestFit="1" customWidth="1"/>
    <col min="10" max="10" width="18.33203125" customWidth="1"/>
    <col min="11" max="11" width="17.21875" bestFit="1" customWidth="1"/>
    <col min="12" max="12" width="12.5546875" bestFit="1" customWidth="1"/>
    <col min="13" max="13" width="11.77734375" customWidth="1"/>
    <col min="14" max="14" width="21.33203125" customWidth="1"/>
  </cols>
  <sheetData>
    <row r="1" spans="1:14" x14ac:dyDescent="0.3">
      <c r="A1" s="7" t="s">
        <v>0</v>
      </c>
      <c r="B1" s="13" t="s">
        <v>1</v>
      </c>
      <c r="C1" s="5" t="s">
        <v>2</v>
      </c>
      <c r="D1" s="5" t="s">
        <v>3</v>
      </c>
      <c r="E1" s="5" t="s">
        <v>4</v>
      </c>
      <c r="F1" s="5" t="s">
        <v>5</v>
      </c>
      <c r="G1" s="5" t="s">
        <v>6</v>
      </c>
      <c r="H1" s="5" t="s">
        <v>7</v>
      </c>
      <c r="I1" s="5" t="s">
        <v>8</v>
      </c>
      <c r="J1" s="5" t="s">
        <v>9</v>
      </c>
      <c r="K1" s="5" t="s">
        <v>10</v>
      </c>
      <c r="L1" s="5" t="s">
        <v>11</v>
      </c>
      <c r="M1" s="28" t="s">
        <v>12</v>
      </c>
      <c r="N1" s="6" t="s">
        <v>13</v>
      </c>
    </row>
    <row r="2" spans="1:14" x14ac:dyDescent="0.3">
      <c r="A2" s="8" t="s">
        <v>14</v>
      </c>
      <c r="B2" s="2" t="s">
        <v>15</v>
      </c>
      <c r="C2" s="2" t="s">
        <v>16</v>
      </c>
      <c r="D2" s="2" t="s">
        <v>17</v>
      </c>
      <c r="E2" s="2" t="s">
        <v>18</v>
      </c>
      <c r="F2" s="2" t="s">
        <v>19</v>
      </c>
      <c r="G2" s="16">
        <v>61</v>
      </c>
      <c r="H2" s="16">
        <v>1499</v>
      </c>
      <c r="I2" s="16">
        <v>91439</v>
      </c>
      <c r="J2" s="16">
        <v>85092</v>
      </c>
      <c r="K2" s="16">
        <v>2</v>
      </c>
      <c r="L2" s="16">
        <v>0</v>
      </c>
      <c r="M2" s="17">
        <v>18287.8</v>
      </c>
      <c r="N2" s="18">
        <v>85410</v>
      </c>
    </row>
    <row r="3" spans="1:14" x14ac:dyDescent="0.3">
      <c r="A3" s="9" t="s">
        <v>20</v>
      </c>
      <c r="B3" s="10" t="s">
        <v>15</v>
      </c>
      <c r="C3" s="10" t="s">
        <v>16</v>
      </c>
      <c r="D3" s="10" t="s">
        <v>21</v>
      </c>
      <c r="E3" s="10" t="s">
        <v>22</v>
      </c>
      <c r="F3" s="10" t="s">
        <v>19</v>
      </c>
      <c r="G3" s="19">
        <v>184</v>
      </c>
      <c r="H3" s="19">
        <v>2499</v>
      </c>
      <c r="I3" s="19">
        <v>459816</v>
      </c>
      <c r="J3" s="19">
        <v>415350</v>
      </c>
      <c r="K3" s="19">
        <v>9.9</v>
      </c>
      <c r="L3" s="19">
        <v>13</v>
      </c>
      <c r="M3" s="20">
        <f>Table4[[#This Row],[Total_Sales_INR]]*0.2</f>
        <v>91963.200000000012</v>
      </c>
      <c r="N3" s="18">
        <v>381204</v>
      </c>
    </row>
    <row r="4" spans="1:14" x14ac:dyDescent="0.3">
      <c r="A4" s="8" t="s">
        <v>23</v>
      </c>
      <c r="B4" s="2" t="s">
        <v>15</v>
      </c>
      <c r="C4" s="2" t="s">
        <v>16</v>
      </c>
      <c r="D4" s="2" t="s">
        <v>24</v>
      </c>
      <c r="E4" s="2" t="s">
        <v>25</v>
      </c>
      <c r="F4" s="2" t="s">
        <v>26</v>
      </c>
      <c r="G4" s="16">
        <v>128</v>
      </c>
      <c r="H4" s="16">
        <v>2499</v>
      </c>
      <c r="I4" s="16">
        <v>319872</v>
      </c>
      <c r="J4" s="16">
        <v>339681</v>
      </c>
      <c r="K4" s="16">
        <v>14.7</v>
      </c>
      <c r="L4" s="16">
        <v>5</v>
      </c>
      <c r="M4" s="17">
        <f>Table4[[#This Row],[Total_Sales_INR]]*0.2</f>
        <v>63974.400000000001</v>
      </c>
      <c r="N4" s="18">
        <v>362526</v>
      </c>
    </row>
    <row r="5" spans="1:14" x14ac:dyDescent="0.3">
      <c r="A5" s="9" t="s">
        <v>27</v>
      </c>
      <c r="B5" s="10" t="s">
        <v>15</v>
      </c>
      <c r="C5" s="10" t="s">
        <v>16</v>
      </c>
      <c r="D5" s="10" t="s">
        <v>28</v>
      </c>
      <c r="E5" s="10" t="s">
        <v>29</v>
      </c>
      <c r="F5" s="10" t="s">
        <v>19</v>
      </c>
      <c r="G5" s="19">
        <v>185</v>
      </c>
      <c r="H5" s="19">
        <v>14999</v>
      </c>
      <c r="I5" s="19">
        <v>2774815</v>
      </c>
      <c r="J5" s="19">
        <v>2437414</v>
      </c>
      <c r="K5" s="19">
        <v>6.4</v>
      </c>
      <c r="L5" s="19">
        <v>1</v>
      </c>
      <c r="M5" s="20">
        <f>Table4[[#This Row],[Total_Sales_INR]]*0.2</f>
        <v>554963</v>
      </c>
      <c r="N5" s="18">
        <v>2819452</v>
      </c>
    </row>
    <row r="6" spans="1:14" x14ac:dyDescent="0.3">
      <c r="A6" s="8" t="s">
        <v>30</v>
      </c>
      <c r="B6" s="2" t="s">
        <v>37</v>
      </c>
      <c r="C6" s="2" t="s">
        <v>16</v>
      </c>
      <c r="D6" s="2" t="s">
        <v>17</v>
      </c>
      <c r="E6" s="2" t="s">
        <v>46</v>
      </c>
      <c r="F6" s="2" t="s">
        <v>35</v>
      </c>
      <c r="G6" s="16">
        <v>187</v>
      </c>
      <c r="H6" s="16">
        <v>24999</v>
      </c>
      <c r="I6" s="16">
        <v>4674813</v>
      </c>
      <c r="J6" s="16">
        <v>5482479</v>
      </c>
      <c r="K6" s="16">
        <v>2</v>
      </c>
      <c r="L6" s="16">
        <v>13</v>
      </c>
      <c r="M6" s="17">
        <f>Table4[[#This Row],[Total_Sales_INR]]*0.2</f>
        <v>934962.60000000009</v>
      </c>
      <c r="N6" s="18">
        <v>5014343</v>
      </c>
    </row>
    <row r="7" spans="1:14" x14ac:dyDescent="0.3">
      <c r="A7" s="9" t="s">
        <v>36</v>
      </c>
      <c r="B7" s="10" t="s">
        <v>37</v>
      </c>
      <c r="C7" s="10" t="s">
        <v>38</v>
      </c>
      <c r="D7" s="10" t="s">
        <v>17</v>
      </c>
      <c r="E7" s="10" t="s">
        <v>29</v>
      </c>
      <c r="F7" s="10" t="s">
        <v>39</v>
      </c>
      <c r="G7" s="19">
        <v>40</v>
      </c>
      <c r="H7" s="19">
        <v>9999</v>
      </c>
      <c r="I7" s="19">
        <v>399960</v>
      </c>
      <c r="J7" s="19">
        <v>365996</v>
      </c>
      <c r="K7" s="19">
        <v>1.1000000000000001</v>
      </c>
      <c r="L7" s="19">
        <v>2</v>
      </c>
      <c r="M7" s="20">
        <f>Table4[[#This Row],[Total_Sales_INR]]*0.2</f>
        <v>79992</v>
      </c>
      <c r="N7" s="18">
        <v>436513</v>
      </c>
    </row>
    <row r="8" spans="1:14" x14ac:dyDescent="0.3">
      <c r="A8" s="8" t="s">
        <v>40</v>
      </c>
      <c r="B8" s="2" t="s">
        <v>41</v>
      </c>
      <c r="C8" s="2" t="s">
        <v>38</v>
      </c>
      <c r="D8" s="2" t="s">
        <v>21</v>
      </c>
      <c r="E8" s="2" t="s">
        <v>22</v>
      </c>
      <c r="F8" s="2" t="s">
        <v>19</v>
      </c>
      <c r="G8" s="16">
        <v>123</v>
      </c>
      <c r="H8" s="16">
        <v>2499</v>
      </c>
      <c r="I8" s="16">
        <v>307377</v>
      </c>
      <c r="J8" s="16">
        <v>294773</v>
      </c>
      <c r="K8" s="16">
        <v>9.8000000000000007</v>
      </c>
      <c r="L8" s="16">
        <v>4</v>
      </c>
      <c r="M8" s="17">
        <f>Table4[[#This Row],[Total_Sales_INR]]*0.2</f>
        <v>61475.4</v>
      </c>
      <c r="N8" s="18">
        <v>319905</v>
      </c>
    </row>
    <row r="9" spans="1:14" x14ac:dyDescent="0.3">
      <c r="A9" s="9" t="s">
        <v>42</v>
      </c>
      <c r="B9" s="10" t="s">
        <v>15</v>
      </c>
      <c r="C9" s="10" t="s">
        <v>38</v>
      </c>
      <c r="D9" s="10" t="s">
        <v>24</v>
      </c>
      <c r="E9" s="10" t="s">
        <v>22</v>
      </c>
      <c r="F9" s="10" t="s">
        <v>39</v>
      </c>
      <c r="G9" s="19">
        <v>132</v>
      </c>
      <c r="H9" s="19">
        <v>1499</v>
      </c>
      <c r="I9" s="19">
        <v>197868</v>
      </c>
      <c r="J9" s="19">
        <v>232582</v>
      </c>
      <c r="K9" s="19">
        <v>3.9</v>
      </c>
      <c r="L9" s="19">
        <v>4</v>
      </c>
      <c r="M9" s="20">
        <f>Table4[[#This Row],[Total_Sales_INR]]*0.2</f>
        <v>39573.600000000006</v>
      </c>
      <c r="N9" s="18">
        <v>203878</v>
      </c>
    </row>
    <row r="10" spans="1:14" x14ac:dyDescent="0.3">
      <c r="A10" s="8" t="s">
        <v>43</v>
      </c>
      <c r="B10" s="2" t="s">
        <v>15</v>
      </c>
      <c r="C10" s="2" t="s">
        <v>38</v>
      </c>
      <c r="D10" s="2" t="s">
        <v>28</v>
      </c>
      <c r="E10" s="2" t="s">
        <v>29</v>
      </c>
      <c r="F10" s="2" t="s">
        <v>39</v>
      </c>
      <c r="G10" s="16">
        <v>11</v>
      </c>
      <c r="H10" s="16">
        <v>9999</v>
      </c>
      <c r="I10" s="16">
        <v>109989</v>
      </c>
      <c r="J10" s="16">
        <v>120219</v>
      </c>
      <c r="K10" s="16">
        <v>14.5</v>
      </c>
      <c r="L10" s="16">
        <v>0</v>
      </c>
      <c r="M10" s="17">
        <f>Table4[[#This Row],[Total_Sales_INR]]*0.2</f>
        <v>21997.800000000003</v>
      </c>
      <c r="N10" s="18">
        <v>113699</v>
      </c>
    </row>
    <row r="11" spans="1:14" x14ac:dyDescent="0.3">
      <c r="A11" s="9" t="s">
        <v>44</v>
      </c>
      <c r="B11" s="10" t="s">
        <v>79</v>
      </c>
      <c r="C11" s="10" t="s">
        <v>48</v>
      </c>
      <c r="D11" s="10" t="s">
        <v>45</v>
      </c>
      <c r="E11" s="2" t="s">
        <v>46</v>
      </c>
      <c r="F11" s="10" t="s">
        <v>57</v>
      </c>
      <c r="G11" s="19">
        <v>145</v>
      </c>
      <c r="H11" s="19">
        <v>24999</v>
      </c>
      <c r="I11" s="19">
        <v>3624855</v>
      </c>
      <c r="J11" s="19">
        <v>3674035</v>
      </c>
      <c r="K11" s="19">
        <v>4.8</v>
      </c>
      <c r="L11" s="19">
        <v>4</v>
      </c>
      <c r="M11" s="20">
        <f>Table4[[#This Row],[Total_Sales_INR]]*0.2</f>
        <v>724971</v>
      </c>
      <c r="N11" s="18">
        <v>3410298</v>
      </c>
    </row>
    <row r="12" spans="1:14" x14ac:dyDescent="0.3">
      <c r="A12" s="8" t="s">
        <v>47</v>
      </c>
      <c r="B12" s="2" t="s">
        <v>15</v>
      </c>
      <c r="C12" s="2" t="s">
        <v>48</v>
      </c>
      <c r="D12" s="2" t="s">
        <v>17</v>
      </c>
      <c r="E12" s="2" t="s">
        <v>25</v>
      </c>
      <c r="F12" s="2" t="s">
        <v>39</v>
      </c>
      <c r="G12" s="16">
        <v>61</v>
      </c>
      <c r="H12" s="16">
        <v>499</v>
      </c>
      <c r="I12" s="16">
        <v>30439</v>
      </c>
      <c r="J12" s="16">
        <v>36521</v>
      </c>
      <c r="K12" s="16">
        <v>12.1</v>
      </c>
      <c r="L12" s="16">
        <v>0</v>
      </c>
      <c r="M12" s="17">
        <f>Table4[[#This Row],[Total_Sales_INR]]*0.2</f>
        <v>6087.8</v>
      </c>
      <c r="N12" s="18">
        <v>34590</v>
      </c>
    </row>
    <row r="13" spans="1:14" x14ac:dyDescent="0.3">
      <c r="A13" s="9" t="s">
        <v>49</v>
      </c>
      <c r="B13" s="10" t="s">
        <v>15</v>
      </c>
      <c r="C13" s="10" t="s">
        <v>48</v>
      </c>
      <c r="D13" s="10" t="s">
        <v>21</v>
      </c>
      <c r="E13" s="10" t="s">
        <v>18</v>
      </c>
      <c r="F13" s="10" t="s">
        <v>19</v>
      </c>
      <c r="G13" s="19">
        <v>54</v>
      </c>
      <c r="H13" s="19">
        <v>4999</v>
      </c>
      <c r="I13" s="19">
        <v>269946</v>
      </c>
      <c r="J13" s="19">
        <v>272993</v>
      </c>
      <c r="K13" s="19">
        <v>1.9</v>
      </c>
      <c r="L13" s="19">
        <v>1</v>
      </c>
      <c r="M13" s="20">
        <f>Table4[[#This Row],[Total_Sales_INR]]*0.2</f>
        <v>53989.200000000004</v>
      </c>
      <c r="N13" s="18">
        <v>297959</v>
      </c>
    </row>
    <row r="14" spans="1:14" x14ac:dyDescent="0.3">
      <c r="A14" s="8" t="s">
        <v>50</v>
      </c>
      <c r="B14" s="2" t="s">
        <v>51</v>
      </c>
      <c r="C14" s="2" t="s">
        <v>48</v>
      </c>
      <c r="D14" s="2" t="s">
        <v>17</v>
      </c>
      <c r="E14" s="2" t="s">
        <v>29</v>
      </c>
      <c r="F14" s="2" t="s">
        <v>19</v>
      </c>
      <c r="G14" s="16">
        <v>132</v>
      </c>
      <c r="H14" s="16">
        <v>24999</v>
      </c>
      <c r="I14" s="16">
        <v>3299868</v>
      </c>
      <c r="J14" s="16">
        <v>3572946</v>
      </c>
      <c r="K14" s="16">
        <v>14.7</v>
      </c>
      <c r="L14" s="16">
        <v>8</v>
      </c>
      <c r="M14" s="17">
        <f>Table4[[#This Row],[Total_Sales_INR]]*0.2</f>
        <v>659973.60000000009</v>
      </c>
      <c r="N14" s="18">
        <v>3171025</v>
      </c>
    </row>
    <row r="15" spans="1:14" x14ac:dyDescent="0.3">
      <c r="A15" s="9" t="s">
        <v>55</v>
      </c>
      <c r="B15" s="10" t="s">
        <v>15</v>
      </c>
      <c r="C15" s="10" t="s">
        <v>48</v>
      </c>
      <c r="D15" s="10" t="s">
        <v>28</v>
      </c>
      <c r="E15" s="10" t="s">
        <v>25</v>
      </c>
      <c r="F15" s="10" t="s">
        <v>26</v>
      </c>
      <c r="G15" s="19">
        <v>111</v>
      </c>
      <c r="H15" s="19">
        <v>499</v>
      </c>
      <c r="I15" s="19">
        <v>55389</v>
      </c>
      <c r="J15" s="19">
        <v>48006</v>
      </c>
      <c r="K15" s="19">
        <v>7.7</v>
      </c>
      <c r="L15" s="19">
        <v>8</v>
      </c>
      <c r="M15" s="20">
        <f>Table4[[#This Row],[Total_Sales_INR]]*0.2</f>
        <v>11077.800000000001</v>
      </c>
      <c r="N15" s="18">
        <v>47384</v>
      </c>
    </row>
    <row r="16" spans="1:14" x14ac:dyDescent="0.3">
      <c r="A16" s="11" t="s">
        <v>56</v>
      </c>
      <c r="B16" s="12" t="s">
        <v>15</v>
      </c>
      <c r="C16" s="12" t="s">
        <v>38</v>
      </c>
      <c r="D16" s="12" t="s">
        <v>45</v>
      </c>
      <c r="E16" s="12" t="s">
        <v>46</v>
      </c>
      <c r="F16" s="12" t="s">
        <v>26</v>
      </c>
      <c r="G16" s="21">
        <v>138</v>
      </c>
      <c r="H16" s="21">
        <v>2499</v>
      </c>
      <c r="I16" s="21">
        <v>344862</v>
      </c>
      <c r="J16" s="21">
        <v>293288</v>
      </c>
      <c r="K16" s="21">
        <v>4.7</v>
      </c>
      <c r="L16" s="21">
        <v>10</v>
      </c>
      <c r="M16" s="22">
        <f>Table4[[#This Row],[Total_Sales_INR]]*0.2</f>
        <v>68972.400000000009</v>
      </c>
      <c r="N16" s="18">
        <v>395439</v>
      </c>
    </row>
    <row r="17" spans="1:14" x14ac:dyDescent="0.3">
      <c r="A17" s="9" t="s">
        <v>58</v>
      </c>
      <c r="B17" s="10" t="s">
        <v>126</v>
      </c>
      <c r="C17" s="10" t="s">
        <v>60</v>
      </c>
      <c r="D17" s="10" t="s">
        <v>17</v>
      </c>
      <c r="E17" s="10" t="s">
        <v>29</v>
      </c>
      <c r="F17" s="10" t="s">
        <v>61</v>
      </c>
      <c r="G17" s="19">
        <v>165</v>
      </c>
      <c r="H17" s="19">
        <v>1499</v>
      </c>
      <c r="I17" s="19">
        <v>247335</v>
      </c>
      <c r="J17" s="19">
        <v>239675</v>
      </c>
      <c r="K17" s="19">
        <v>0.8</v>
      </c>
      <c r="L17" s="19">
        <v>5</v>
      </c>
      <c r="M17" s="20">
        <f>Table4[[#This Row],[Total_Sales_INR]]*0.2</f>
        <v>49467</v>
      </c>
      <c r="N17" s="18">
        <v>235623</v>
      </c>
    </row>
    <row r="18" spans="1:14" x14ac:dyDescent="0.3">
      <c r="A18" s="8" t="s">
        <v>360</v>
      </c>
      <c r="B18" s="2" t="s">
        <v>15</v>
      </c>
      <c r="C18" s="2" t="s">
        <v>60</v>
      </c>
      <c r="D18" s="2" t="s">
        <v>21</v>
      </c>
      <c r="E18" s="2" t="s">
        <v>29</v>
      </c>
      <c r="F18" s="2" t="s">
        <v>61</v>
      </c>
      <c r="G18" s="16">
        <v>123</v>
      </c>
      <c r="H18" s="16">
        <v>999</v>
      </c>
      <c r="I18" s="16">
        <v>122877</v>
      </c>
      <c r="J18" s="16">
        <v>142138</v>
      </c>
      <c r="K18" s="16">
        <v>2.4</v>
      </c>
      <c r="L18" s="16">
        <v>2</v>
      </c>
      <c r="M18" s="17">
        <f>Table4[[#This Row],[Total_Sales_INR]]*0.2</f>
        <v>24575.4</v>
      </c>
      <c r="N18" s="18">
        <v>114348</v>
      </c>
    </row>
    <row r="19" spans="1:14" x14ac:dyDescent="0.3">
      <c r="A19" s="9" t="s">
        <v>64</v>
      </c>
      <c r="B19" s="10" t="s">
        <v>51</v>
      </c>
      <c r="C19" s="10" t="s">
        <v>60</v>
      </c>
      <c r="D19" s="10" t="s">
        <v>24</v>
      </c>
      <c r="E19" s="10" t="s">
        <v>25</v>
      </c>
      <c r="F19" s="10" t="s">
        <v>39</v>
      </c>
      <c r="G19" s="19">
        <v>84</v>
      </c>
      <c r="H19" s="19">
        <v>999</v>
      </c>
      <c r="I19" s="19">
        <v>83916</v>
      </c>
      <c r="J19" s="19">
        <v>85791</v>
      </c>
      <c r="K19" s="19">
        <v>12</v>
      </c>
      <c r="L19" s="19">
        <v>0</v>
      </c>
      <c r="M19" s="20">
        <f>Table4[[#This Row],[Total_Sales_INR]]*0.2</f>
        <v>16783.2</v>
      </c>
      <c r="N19" s="18">
        <v>84945</v>
      </c>
    </row>
    <row r="20" spans="1:14" x14ac:dyDescent="0.3">
      <c r="A20" s="8" t="s">
        <v>65</v>
      </c>
      <c r="B20" s="2" t="s">
        <v>41</v>
      </c>
      <c r="C20" s="2" t="s">
        <v>60</v>
      </c>
      <c r="D20" s="2" t="s">
        <v>21</v>
      </c>
      <c r="E20" s="2" t="s">
        <v>46</v>
      </c>
      <c r="F20" s="2" t="s">
        <v>61</v>
      </c>
      <c r="G20" s="16">
        <v>199</v>
      </c>
      <c r="H20" s="16">
        <v>14999</v>
      </c>
      <c r="I20" s="16">
        <v>2984801</v>
      </c>
      <c r="J20" s="16">
        <v>2974906</v>
      </c>
      <c r="K20" s="16">
        <v>0</v>
      </c>
      <c r="L20" s="16">
        <v>7</v>
      </c>
      <c r="M20" s="17">
        <f>Table4[[#This Row],[Total_Sales_INR]]*0.2</f>
        <v>596960.20000000007</v>
      </c>
      <c r="N20" s="18">
        <v>2812273</v>
      </c>
    </row>
    <row r="21" spans="1:14" x14ac:dyDescent="0.3">
      <c r="A21" s="8" t="s">
        <v>70</v>
      </c>
      <c r="B21" s="2" t="s">
        <v>15</v>
      </c>
      <c r="C21" s="2" t="s">
        <v>48</v>
      </c>
      <c r="D21" s="2" t="s">
        <v>45</v>
      </c>
      <c r="E21" s="2" t="s">
        <v>25</v>
      </c>
      <c r="F21" s="2" t="s">
        <v>57</v>
      </c>
      <c r="G21" s="16">
        <v>153</v>
      </c>
      <c r="H21" s="16">
        <v>1499</v>
      </c>
      <c r="I21" s="16">
        <v>229347</v>
      </c>
      <c r="J21" s="16">
        <v>251281</v>
      </c>
      <c r="K21" s="16">
        <v>9.8000000000000007</v>
      </c>
      <c r="L21" s="16">
        <v>8</v>
      </c>
      <c r="M21" s="17">
        <f>Table4[[#This Row],[Total_Sales_INR]]*0.2</f>
        <v>45869.4</v>
      </c>
      <c r="N21" s="18">
        <v>237891</v>
      </c>
    </row>
    <row r="22" spans="1:14" x14ac:dyDescent="0.3">
      <c r="A22" s="8" t="s">
        <v>71</v>
      </c>
      <c r="B22" s="2" t="s">
        <v>72</v>
      </c>
      <c r="C22" s="2" t="s">
        <v>16</v>
      </c>
      <c r="D22" s="2" t="s">
        <v>17</v>
      </c>
      <c r="E22" s="2" t="s">
        <v>22</v>
      </c>
      <c r="F22" s="2" t="s">
        <v>61</v>
      </c>
      <c r="G22" s="16">
        <v>50</v>
      </c>
      <c r="H22" s="16">
        <v>2499</v>
      </c>
      <c r="I22" s="16">
        <v>124950</v>
      </c>
      <c r="J22" s="16">
        <v>138291</v>
      </c>
      <c r="K22" s="16">
        <v>7.3</v>
      </c>
      <c r="L22" s="16">
        <v>0</v>
      </c>
      <c r="M22" s="17">
        <f>Table4[[#This Row],[Total_Sales_INR]]*0.2</f>
        <v>24990</v>
      </c>
      <c r="N22" s="18">
        <v>108779</v>
      </c>
    </row>
    <row r="23" spans="1:14" x14ac:dyDescent="0.3">
      <c r="A23" s="9" t="s">
        <v>73</v>
      </c>
      <c r="B23" s="10" t="s">
        <v>15</v>
      </c>
      <c r="C23" s="10" t="s">
        <v>60</v>
      </c>
      <c r="D23" s="10" t="s">
        <v>45</v>
      </c>
      <c r="E23" s="10" t="s">
        <v>22</v>
      </c>
      <c r="F23" s="10" t="s">
        <v>26</v>
      </c>
      <c r="G23" s="19">
        <v>75</v>
      </c>
      <c r="H23" s="19">
        <v>1499</v>
      </c>
      <c r="I23" s="19">
        <v>112425</v>
      </c>
      <c r="J23" s="19">
        <v>118373</v>
      </c>
      <c r="K23" s="19">
        <v>6.5</v>
      </c>
      <c r="L23" s="19">
        <v>0</v>
      </c>
      <c r="M23" s="20">
        <f>Table4[[#This Row],[Total_Sales_INR]]*0.2</f>
        <v>22485</v>
      </c>
      <c r="N23" s="18">
        <v>91340</v>
      </c>
    </row>
    <row r="24" spans="1:14" x14ac:dyDescent="0.3">
      <c r="A24" s="8" t="s">
        <v>78</v>
      </c>
      <c r="B24" s="2" t="s">
        <v>79</v>
      </c>
      <c r="C24" s="2" t="s">
        <v>16</v>
      </c>
      <c r="D24" s="2" t="s">
        <v>24</v>
      </c>
      <c r="E24" s="2" t="s">
        <v>22</v>
      </c>
      <c r="F24" s="2" t="s">
        <v>57</v>
      </c>
      <c r="G24" s="16">
        <v>78</v>
      </c>
      <c r="H24" s="16">
        <v>4999</v>
      </c>
      <c r="I24" s="16">
        <v>389922</v>
      </c>
      <c r="J24" s="16">
        <v>332817</v>
      </c>
      <c r="K24" s="16">
        <v>8</v>
      </c>
      <c r="L24" s="16">
        <v>1</v>
      </c>
      <c r="M24" s="17">
        <f>Table4[[#This Row],[Total_Sales_INR]]*0.2</f>
        <v>77984.400000000009</v>
      </c>
      <c r="N24" s="18">
        <v>327505</v>
      </c>
    </row>
    <row r="25" spans="1:14" x14ac:dyDescent="0.3">
      <c r="A25" s="9" t="s">
        <v>80</v>
      </c>
      <c r="B25" s="10" t="s">
        <v>79</v>
      </c>
      <c r="C25" s="10" t="s">
        <v>38</v>
      </c>
      <c r="D25" s="10" t="s">
        <v>21</v>
      </c>
      <c r="E25" s="10" t="s">
        <v>29</v>
      </c>
      <c r="F25" s="10" t="s">
        <v>19</v>
      </c>
      <c r="G25" s="19">
        <v>14</v>
      </c>
      <c r="H25" s="19">
        <v>9999</v>
      </c>
      <c r="I25" s="19">
        <v>139986</v>
      </c>
      <c r="J25" s="19">
        <v>165110</v>
      </c>
      <c r="K25" s="19">
        <v>13.3</v>
      </c>
      <c r="L25" s="19">
        <v>0</v>
      </c>
      <c r="M25" s="20">
        <f>Table4[[#This Row],[Total_Sales_INR]]*0.2</f>
        <v>27997.200000000001</v>
      </c>
      <c r="N25" s="18">
        <v>150195</v>
      </c>
    </row>
    <row r="26" spans="1:14" x14ac:dyDescent="0.3">
      <c r="A26" s="8" t="s">
        <v>85</v>
      </c>
      <c r="B26" s="2" t="s">
        <v>86</v>
      </c>
      <c r="C26" s="2" t="s">
        <v>38</v>
      </c>
      <c r="D26" s="2" t="s">
        <v>17</v>
      </c>
      <c r="E26" s="2" t="s">
        <v>25</v>
      </c>
      <c r="F26" s="2" t="s">
        <v>26</v>
      </c>
      <c r="G26" s="16">
        <v>118</v>
      </c>
      <c r="H26" s="16">
        <v>14999</v>
      </c>
      <c r="I26" s="16">
        <v>1769882</v>
      </c>
      <c r="J26" s="16">
        <v>1979942</v>
      </c>
      <c r="K26" s="16">
        <v>13.6</v>
      </c>
      <c r="L26" s="16">
        <v>4</v>
      </c>
      <c r="M26" s="17">
        <f>Table4[[#This Row],[Total_Sales_INR]]*0.2</f>
        <v>353976.4</v>
      </c>
      <c r="N26" s="18">
        <v>1629539</v>
      </c>
    </row>
    <row r="27" spans="1:14" x14ac:dyDescent="0.3">
      <c r="A27" s="9" t="s">
        <v>89</v>
      </c>
      <c r="B27" s="10" t="s">
        <v>72</v>
      </c>
      <c r="C27" s="10" t="s">
        <v>38</v>
      </c>
      <c r="D27" s="10" t="s">
        <v>17</v>
      </c>
      <c r="E27" s="10" t="s">
        <v>18</v>
      </c>
      <c r="F27" s="10" t="s">
        <v>61</v>
      </c>
      <c r="G27" s="19">
        <v>14</v>
      </c>
      <c r="H27" s="19">
        <v>4999</v>
      </c>
      <c r="I27" s="19">
        <v>69986</v>
      </c>
      <c r="J27" s="19">
        <v>61389</v>
      </c>
      <c r="K27" s="19">
        <v>5.8</v>
      </c>
      <c r="L27" s="19">
        <v>0</v>
      </c>
      <c r="M27" s="20">
        <f>Table4[[#This Row],[Total_Sales_INR]]*0.2</f>
        <v>13997.2</v>
      </c>
      <c r="N27" s="18">
        <v>74716</v>
      </c>
    </row>
    <row r="28" spans="1:14" x14ac:dyDescent="0.3">
      <c r="A28" s="8" t="s">
        <v>90</v>
      </c>
      <c r="B28" s="2" t="s">
        <v>72</v>
      </c>
      <c r="C28" s="2" t="s">
        <v>38</v>
      </c>
      <c r="D28" s="2" t="s">
        <v>21</v>
      </c>
      <c r="E28" s="2" t="s">
        <v>46</v>
      </c>
      <c r="F28" s="2" t="s">
        <v>39</v>
      </c>
      <c r="G28" s="16">
        <v>111</v>
      </c>
      <c r="H28" s="16">
        <v>2499</v>
      </c>
      <c r="I28" s="16">
        <v>277389</v>
      </c>
      <c r="J28" s="16">
        <v>242394</v>
      </c>
      <c r="K28" s="16">
        <v>13.9</v>
      </c>
      <c r="L28" s="16">
        <v>7</v>
      </c>
      <c r="M28" s="17">
        <f>Table4[[#This Row],[Total_Sales_INR]]*0.2</f>
        <v>55477.8</v>
      </c>
      <c r="N28" s="18">
        <v>254773</v>
      </c>
    </row>
    <row r="29" spans="1:14" x14ac:dyDescent="0.3">
      <c r="A29" s="9" t="s">
        <v>91</v>
      </c>
      <c r="B29" s="10" t="s">
        <v>92</v>
      </c>
      <c r="C29" s="10" t="s">
        <v>38</v>
      </c>
      <c r="D29" s="10" t="s">
        <v>17</v>
      </c>
      <c r="E29" s="10" t="s">
        <v>25</v>
      </c>
      <c r="F29" s="10" t="s">
        <v>35</v>
      </c>
      <c r="G29" s="19">
        <v>14</v>
      </c>
      <c r="H29" s="19">
        <v>499</v>
      </c>
      <c r="I29" s="19">
        <v>6986</v>
      </c>
      <c r="J29" s="19">
        <v>6234</v>
      </c>
      <c r="K29" s="19">
        <v>4.8</v>
      </c>
      <c r="L29" s="19">
        <v>0</v>
      </c>
      <c r="M29" s="20">
        <f>Table4[[#This Row],[Total_Sales_INR]]*0.2</f>
        <v>1397.2</v>
      </c>
      <c r="N29" s="18">
        <v>8017</v>
      </c>
    </row>
    <row r="30" spans="1:14" x14ac:dyDescent="0.3">
      <c r="A30" s="8" t="s">
        <v>96</v>
      </c>
      <c r="B30" s="2" t="s">
        <v>72</v>
      </c>
      <c r="C30" s="2" t="s">
        <v>38</v>
      </c>
      <c r="D30" s="2" t="s">
        <v>24</v>
      </c>
      <c r="E30" s="2" t="s">
        <v>22</v>
      </c>
      <c r="F30" s="2" t="s">
        <v>35</v>
      </c>
      <c r="G30" s="16">
        <v>29</v>
      </c>
      <c r="H30" s="16">
        <v>4999</v>
      </c>
      <c r="I30" s="16">
        <v>144971</v>
      </c>
      <c r="J30" s="16">
        <v>171357</v>
      </c>
      <c r="K30" s="16">
        <v>4.5999999999999996</v>
      </c>
      <c r="L30" s="16">
        <v>2</v>
      </c>
      <c r="M30" s="17">
        <f>Table4[[#This Row],[Total_Sales_INR]]*0.2</f>
        <v>28994.2</v>
      </c>
      <c r="N30" s="18">
        <v>129885</v>
      </c>
    </row>
    <row r="31" spans="1:14" x14ac:dyDescent="0.3">
      <c r="A31" s="9" t="s">
        <v>100</v>
      </c>
      <c r="B31" s="10" t="s">
        <v>51</v>
      </c>
      <c r="C31" s="10" t="s">
        <v>60</v>
      </c>
      <c r="D31" s="10" t="s">
        <v>24</v>
      </c>
      <c r="E31" s="10" t="s">
        <v>46</v>
      </c>
      <c r="F31" s="10" t="s">
        <v>103</v>
      </c>
      <c r="G31" s="19">
        <v>172</v>
      </c>
      <c r="H31" s="19">
        <v>1499</v>
      </c>
      <c r="I31" s="19">
        <v>257828</v>
      </c>
      <c r="J31" s="19">
        <v>260614</v>
      </c>
      <c r="K31" s="19">
        <v>2.2000000000000002</v>
      </c>
      <c r="L31" s="19">
        <v>5</v>
      </c>
      <c r="M31" s="20">
        <f>Table4[[#This Row],[Total_Sales_INR]]*0.2</f>
        <v>51565.600000000006</v>
      </c>
      <c r="N31" s="18">
        <v>278632</v>
      </c>
    </row>
    <row r="32" spans="1:14" x14ac:dyDescent="0.3">
      <c r="A32" s="8" t="s">
        <v>104</v>
      </c>
      <c r="B32" s="2" t="s">
        <v>105</v>
      </c>
      <c r="C32" s="2" t="s">
        <v>16</v>
      </c>
      <c r="D32" s="2" t="s">
        <v>17</v>
      </c>
      <c r="E32" s="2" t="s">
        <v>18</v>
      </c>
      <c r="F32" s="2" t="s">
        <v>57</v>
      </c>
      <c r="G32" s="16">
        <v>32</v>
      </c>
      <c r="H32" s="16">
        <v>14999</v>
      </c>
      <c r="I32" s="16">
        <v>479968</v>
      </c>
      <c r="J32" s="16">
        <v>484894</v>
      </c>
      <c r="K32" s="16">
        <v>1.3</v>
      </c>
      <c r="L32" s="16">
        <v>0</v>
      </c>
      <c r="M32" s="17">
        <f>Table4[[#This Row],[Total_Sales_INR]]*0.2</f>
        <v>95993.600000000006</v>
      </c>
      <c r="N32" s="18">
        <v>398771</v>
      </c>
    </row>
    <row r="33" spans="1:14" x14ac:dyDescent="0.3">
      <c r="A33" s="9" t="s">
        <v>108</v>
      </c>
      <c r="B33" s="10" t="s">
        <v>126</v>
      </c>
      <c r="C33" s="10" t="s">
        <v>16</v>
      </c>
      <c r="D33" s="10" t="s">
        <v>28</v>
      </c>
      <c r="E33" s="10" t="s">
        <v>29</v>
      </c>
      <c r="F33" s="10" t="s">
        <v>112</v>
      </c>
      <c r="G33" s="19">
        <v>113</v>
      </c>
      <c r="H33" s="19">
        <v>9999</v>
      </c>
      <c r="I33" s="19">
        <v>1129887</v>
      </c>
      <c r="J33" s="19">
        <v>1159690</v>
      </c>
      <c r="K33" s="19">
        <v>6.6</v>
      </c>
      <c r="L33" s="19">
        <v>4</v>
      </c>
      <c r="M33" s="20">
        <f>Table4[[#This Row],[Total_Sales_INR]]*0.2</f>
        <v>225977.40000000002</v>
      </c>
      <c r="N33" s="18">
        <v>1147728</v>
      </c>
    </row>
    <row r="34" spans="1:14" x14ac:dyDescent="0.3">
      <c r="A34" s="8" t="s">
        <v>113</v>
      </c>
      <c r="B34" s="2" t="s">
        <v>51</v>
      </c>
      <c r="C34" s="2" t="s">
        <v>16</v>
      </c>
      <c r="D34" s="2" t="s">
        <v>17</v>
      </c>
      <c r="E34" s="2" t="s">
        <v>22</v>
      </c>
      <c r="F34" s="2" t="s">
        <v>26</v>
      </c>
      <c r="G34" s="16">
        <v>164</v>
      </c>
      <c r="H34" s="16">
        <v>9999</v>
      </c>
      <c r="I34" s="16">
        <v>1639836</v>
      </c>
      <c r="J34" s="16">
        <v>1713766</v>
      </c>
      <c r="K34" s="16">
        <v>10.9</v>
      </c>
      <c r="L34" s="16">
        <v>13</v>
      </c>
      <c r="M34" s="17">
        <f>Table4[[#This Row],[Total_Sales_INR]]*0.2</f>
        <v>327967.2</v>
      </c>
      <c r="N34" s="18">
        <v>1487932</v>
      </c>
    </row>
    <row r="35" spans="1:14" x14ac:dyDescent="0.3">
      <c r="A35" s="9" t="s">
        <v>115</v>
      </c>
      <c r="B35" s="10" t="s">
        <v>72</v>
      </c>
      <c r="C35" s="10" t="s">
        <v>48</v>
      </c>
      <c r="D35" s="10" t="s">
        <v>28</v>
      </c>
      <c r="E35" s="10" t="s">
        <v>46</v>
      </c>
      <c r="F35" s="10" t="s">
        <v>61</v>
      </c>
      <c r="G35" s="19">
        <v>85</v>
      </c>
      <c r="H35" s="19">
        <v>499</v>
      </c>
      <c r="I35" s="19">
        <v>42415</v>
      </c>
      <c r="J35" s="19">
        <v>45968</v>
      </c>
      <c r="K35" s="19">
        <v>5.0999999999999996</v>
      </c>
      <c r="L35" s="19">
        <v>1</v>
      </c>
      <c r="M35" s="20">
        <f>Table4[[#This Row],[Total_Sales_INR]]*0.2</f>
        <v>8483</v>
      </c>
      <c r="N35" s="18">
        <v>34529</v>
      </c>
    </row>
    <row r="36" spans="1:14" x14ac:dyDescent="0.3">
      <c r="A36" s="8" t="s">
        <v>116</v>
      </c>
      <c r="B36" s="2" t="s">
        <v>126</v>
      </c>
      <c r="C36" s="2" t="s">
        <v>60</v>
      </c>
      <c r="D36" s="2" t="s">
        <v>28</v>
      </c>
      <c r="E36" s="2" t="s">
        <v>29</v>
      </c>
      <c r="F36" s="2" t="s">
        <v>57</v>
      </c>
      <c r="G36" s="16">
        <v>100</v>
      </c>
      <c r="H36" s="16">
        <v>1499</v>
      </c>
      <c r="I36" s="16">
        <v>149900</v>
      </c>
      <c r="J36" s="16">
        <v>130726</v>
      </c>
      <c r="K36" s="16">
        <v>10.199999999999999</v>
      </c>
      <c r="L36" s="16">
        <v>0</v>
      </c>
      <c r="M36" s="17">
        <f>Table4[[#This Row],[Total_Sales_INR]]*0.2</f>
        <v>29980</v>
      </c>
      <c r="N36" s="18">
        <v>136363</v>
      </c>
    </row>
    <row r="37" spans="1:14" x14ac:dyDescent="0.3">
      <c r="A37" s="9" t="s">
        <v>119</v>
      </c>
      <c r="B37" s="10" t="s">
        <v>72</v>
      </c>
      <c r="C37" s="10" t="s">
        <v>60</v>
      </c>
      <c r="D37" s="10" t="s">
        <v>17</v>
      </c>
      <c r="E37" s="10" t="s">
        <v>46</v>
      </c>
      <c r="F37" s="10" t="s">
        <v>61</v>
      </c>
      <c r="G37" s="19">
        <v>140</v>
      </c>
      <c r="H37" s="19">
        <v>4999</v>
      </c>
      <c r="I37" s="19">
        <v>699860</v>
      </c>
      <c r="J37" s="19">
        <v>629765</v>
      </c>
      <c r="K37" s="19">
        <v>6.2</v>
      </c>
      <c r="L37" s="19">
        <v>8</v>
      </c>
      <c r="M37" s="20">
        <f>Table4[[#This Row],[Total_Sales_INR]]*0.2</f>
        <v>139972</v>
      </c>
      <c r="N37" s="18">
        <v>634183</v>
      </c>
    </row>
    <row r="38" spans="1:14" x14ac:dyDescent="0.3">
      <c r="A38" s="8" t="s">
        <v>361</v>
      </c>
      <c r="B38" s="2" t="s">
        <v>72</v>
      </c>
      <c r="C38" s="2" t="s">
        <v>60</v>
      </c>
      <c r="D38" s="2" t="s">
        <v>21</v>
      </c>
      <c r="E38" s="2" t="s">
        <v>29</v>
      </c>
      <c r="F38" s="2" t="s">
        <v>61</v>
      </c>
      <c r="G38" s="16">
        <v>19</v>
      </c>
      <c r="H38" s="16">
        <v>1499</v>
      </c>
      <c r="I38" s="16">
        <v>28481</v>
      </c>
      <c r="J38" s="16">
        <v>28731</v>
      </c>
      <c r="K38" s="16">
        <v>11.9</v>
      </c>
      <c r="L38" s="16">
        <v>1</v>
      </c>
      <c r="M38" s="17">
        <f>Table4[[#This Row],[Total_Sales_INR]]*0.2</f>
        <v>5696.2000000000007</v>
      </c>
      <c r="N38" s="18">
        <v>24070</v>
      </c>
    </row>
    <row r="39" spans="1:14" x14ac:dyDescent="0.3">
      <c r="A39" s="9" t="s">
        <v>121</v>
      </c>
      <c r="B39" s="10" t="s">
        <v>41</v>
      </c>
      <c r="C39" s="10" t="s">
        <v>38</v>
      </c>
      <c r="D39" s="10" t="s">
        <v>45</v>
      </c>
      <c r="E39" s="10" t="s">
        <v>18</v>
      </c>
      <c r="F39" s="10" t="s">
        <v>57</v>
      </c>
      <c r="G39" s="19">
        <v>29</v>
      </c>
      <c r="H39" s="19">
        <v>2499</v>
      </c>
      <c r="I39" s="19">
        <v>72471</v>
      </c>
      <c r="J39" s="19">
        <v>67700</v>
      </c>
      <c r="K39" s="19">
        <v>3.4</v>
      </c>
      <c r="L39" s="19">
        <v>2</v>
      </c>
      <c r="M39" s="20">
        <f>Table4[[#This Row],[Total_Sales_INR]]*0.2</f>
        <v>14494.2</v>
      </c>
      <c r="N39" s="18">
        <v>71277</v>
      </c>
    </row>
    <row r="40" spans="1:14" x14ac:dyDescent="0.3">
      <c r="A40" s="8" t="s">
        <v>123</v>
      </c>
      <c r="B40" s="2" t="s">
        <v>72</v>
      </c>
      <c r="C40" s="2" t="s">
        <v>60</v>
      </c>
      <c r="D40" s="2" t="s">
        <v>28</v>
      </c>
      <c r="E40" s="2" t="s">
        <v>46</v>
      </c>
      <c r="F40" s="2" t="s">
        <v>26</v>
      </c>
      <c r="G40" s="16">
        <v>185</v>
      </c>
      <c r="H40" s="16">
        <v>2499</v>
      </c>
      <c r="I40" s="16">
        <v>462315</v>
      </c>
      <c r="J40" s="16">
        <v>485131</v>
      </c>
      <c r="K40" s="16">
        <v>12.7</v>
      </c>
      <c r="L40" s="16">
        <v>12</v>
      </c>
      <c r="M40" s="17">
        <f>Table4[[#This Row],[Total_Sales_INR]]*0.2</f>
        <v>92463</v>
      </c>
      <c r="N40" s="18">
        <v>391887</v>
      </c>
    </row>
    <row r="41" spans="1:14" x14ac:dyDescent="0.3">
      <c r="A41" s="9" t="s">
        <v>124</v>
      </c>
      <c r="B41" s="10" t="s">
        <v>92</v>
      </c>
      <c r="C41" s="10" t="s">
        <v>16</v>
      </c>
      <c r="D41" s="10" t="s">
        <v>45</v>
      </c>
      <c r="E41" s="10" t="s">
        <v>46</v>
      </c>
      <c r="F41" s="10" t="s">
        <v>61</v>
      </c>
      <c r="G41" s="19">
        <v>61</v>
      </c>
      <c r="H41" s="19">
        <v>24999</v>
      </c>
      <c r="I41" s="19">
        <v>1524939</v>
      </c>
      <c r="J41" s="19">
        <v>1561256</v>
      </c>
      <c r="K41" s="19">
        <v>10.8</v>
      </c>
      <c r="L41" s="19">
        <v>1</v>
      </c>
      <c r="M41" s="20">
        <f>Table4[[#This Row],[Total_Sales_INR]]*0.2</f>
        <v>304987.8</v>
      </c>
      <c r="N41" s="18">
        <v>1543998</v>
      </c>
    </row>
    <row r="42" spans="1:14" x14ac:dyDescent="0.3">
      <c r="A42" s="8" t="s">
        <v>125</v>
      </c>
      <c r="B42" s="2" t="s">
        <v>126</v>
      </c>
      <c r="C42" s="2" t="s">
        <v>16</v>
      </c>
      <c r="D42" s="2" t="s">
        <v>17</v>
      </c>
      <c r="E42" s="2" t="s">
        <v>46</v>
      </c>
      <c r="F42" s="2" t="s">
        <v>57</v>
      </c>
      <c r="G42" s="16">
        <v>145</v>
      </c>
      <c r="H42" s="16">
        <v>2499</v>
      </c>
      <c r="I42" s="16">
        <v>362355</v>
      </c>
      <c r="J42" s="16">
        <v>346017</v>
      </c>
      <c r="K42" s="16">
        <v>4.8</v>
      </c>
      <c r="L42" s="16">
        <v>5</v>
      </c>
      <c r="M42" s="17">
        <f>Table4[[#This Row],[Total_Sales_INR]]*0.2</f>
        <v>72471</v>
      </c>
      <c r="N42" s="18">
        <v>402024</v>
      </c>
    </row>
    <row r="43" spans="1:14" x14ac:dyDescent="0.3">
      <c r="A43" s="9" t="s">
        <v>127</v>
      </c>
      <c r="B43" s="10" t="s">
        <v>126</v>
      </c>
      <c r="C43" s="10" t="s">
        <v>16</v>
      </c>
      <c r="D43" s="10" t="s">
        <v>21</v>
      </c>
      <c r="E43" s="10" t="s">
        <v>29</v>
      </c>
      <c r="F43" s="10" t="s">
        <v>39</v>
      </c>
      <c r="G43" s="19">
        <v>155</v>
      </c>
      <c r="H43" s="19">
        <v>1499</v>
      </c>
      <c r="I43" s="19">
        <v>232345</v>
      </c>
      <c r="J43" s="19">
        <v>253664</v>
      </c>
      <c r="K43" s="19">
        <v>0.7</v>
      </c>
      <c r="L43" s="19">
        <v>6</v>
      </c>
      <c r="M43" s="20">
        <f>Table4[[#This Row],[Total_Sales_INR]]*0.2</f>
        <v>46469</v>
      </c>
      <c r="N43" s="18">
        <v>233649</v>
      </c>
    </row>
    <row r="44" spans="1:14" x14ac:dyDescent="0.3">
      <c r="A44" s="8" t="s">
        <v>128</v>
      </c>
      <c r="B44" s="2" t="s">
        <v>126</v>
      </c>
      <c r="C44" s="2" t="s">
        <v>16</v>
      </c>
      <c r="D44" s="2" t="s">
        <v>24</v>
      </c>
      <c r="E44" s="2" t="s">
        <v>29</v>
      </c>
      <c r="F44" s="2" t="s">
        <v>26</v>
      </c>
      <c r="G44" s="16">
        <v>32</v>
      </c>
      <c r="H44" s="16">
        <v>2499</v>
      </c>
      <c r="I44" s="16">
        <v>79968</v>
      </c>
      <c r="J44" s="16">
        <v>95241</v>
      </c>
      <c r="K44" s="16">
        <v>11.4</v>
      </c>
      <c r="L44" s="16">
        <v>1</v>
      </c>
      <c r="M44" s="17">
        <f>Table4[[#This Row],[Total_Sales_INR]]*0.2</f>
        <v>15993.6</v>
      </c>
      <c r="N44" s="18">
        <v>70816</v>
      </c>
    </row>
    <row r="45" spans="1:14" x14ac:dyDescent="0.3">
      <c r="A45" s="9" t="s">
        <v>129</v>
      </c>
      <c r="B45" s="10" t="s">
        <v>79</v>
      </c>
      <c r="C45" s="10" t="s">
        <v>16</v>
      </c>
      <c r="D45" s="10" t="s">
        <v>28</v>
      </c>
      <c r="E45" s="10" t="s">
        <v>22</v>
      </c>
      <c r="F45" s="10" t="s">
        <v>19</v>
      </c>
      <c r="G45" s="19">
        <v>96</v>
      </c>
      <c r="H45" s="19">
        <v>499</v>
      </c>
      <c r="I45" s="19">
        <v>47904</v>
      </c>
      <c r="J45" s="19">
        <v>56748</v>
      </c>
      <c r="K45" s="19">
        <v>9.8000000000000007</v>
      </c>
      <c r="L45" s="19">
        <v>6</v>
      </c>
      <c r="M45" s="20">
        <f>Table4[[#This Row],[Total_Sales_INR]]*0.2</f>
        <v>9580.8000000000011</v>
      </c>
      <c r="N45" s="18">
        <v>49121</v>
      </c>
    </row>
    <row r="46" spans="1:14" x14ac:dyDescent="0.3">
      <c r="A46" s="11" t="s">
        <v>131</v>
      </c>
      <c r="B46" s="12" t="s">
        <v>72</v>
      </c>
      <c r="C46" s="12" t="s">
        <v>60</v>
      </c>
      <c r="D46" s="12" t="s">
        <v>45</v>
      </c>
      <c r="E46" s="12" t="s">
        <v>18</v>
      </c>
      <c r="F46" s="12" t="s">
        <v>39</v>
      </c>
      <c r="G46" s="21">
        <v>55</v>
      </c>
      <c r="H46" s="21">
        <v>4999</v>
      </c>
      <c r="I46" s="21">
        <v>274945</v>
      </c>
      <c r="J46" s="21">
        <v>279760</v>
      </c>
      <c r="K46" s="21">
        <v>0</v>
      </c>
      <c r="L46" s="21">
        <v>3</v>
      </c>
      <c r="M46" s="22">
        <f>Table4[[#This Row],[Total_Sales_INR]]*0.2</f>
        <v>54989</v>
      </c>
      <c r="N46" s="18">
        <v>245000</v>
      </c>
    </row>
    <row r="47" spans="1:14" x14ac:dyDescent="0.3">
      <c r="A47" s="9" t="s">
        <v>132</v>
      </c>
      <c r="B47" s="10" t="s">
        <v>126</v>
      </c>
      <c r="C47" s="10" t="s">
        <v>38</v>
      </c>
      <c r="D47" s="10" t="s">
        <v>17</v>
      </c>
      <c r="E47" s="10" t="s">
        <v>22</v>
      </c>
      <c r="F47" s="10" t="s">
        <v>26</v>
      </c>
      <c r="G47" s="19">
        <v>196</v>
      </c>
      <c r="H47" s="19">
        <v>2499</v>
      </c>
      <c r="I47" s="19">
        <v>489804</v>
      </c>
      <c r="J47" s="19">
        <v>438000</v>
      </c>
      <c r="K47" s="19">
        <v>11.8</v>
      </c>
      <c r="L47" s="19">
        <v>13</v>
      </c>
      <c r="M47" s="20">
        <f>Table4[[#This Row],[Total_Sales_INR]]*0.2</f>
        <v>97960.8</v>
      </c>
      <c r="N47" s="18">
        <v>551326</v>
      </c>
    </row>
    <row r="48" spans="1:14" x14ac:dyDescent="0.3">
      <c r="A48" s="8" t="s">
        <v>133</v>
      </c>
      <c r="B48" s="2" t="s">
        <v>41</v>
      </c>
      <c r="C48" s="2" t="s">
        <v>48</v>
      </c>
      <c r="D48" s="2" t="s">
        <v>21</v>
      </c>
      <c r="E48" s="2" t="s">
        <v>25</v>
      </c>
      <c r="F48" s="2" t="s">
        <v>57</v>
      </c>
      <c r="G48" s="16">
        <v>61</v>
      </c>
      <c r="H48" s="16">
        <v>499</v>
      </c>
      <c r="I48" s="16">
        <v>30439</v>
      </c>
      <c r="J48" s="16">
        <v>27924</v>
      </c>
      <c r="K48" s="16">
        <v>0</v>
      </c>
      <c r="L48" s="16">
        <v>1</v>
      </c>
      <c r="M48" s="17">
        <f>Table4[[#This Row],[Total_Sales_INR]]*0.2</f>
        <v>6087.8</v>
      </c>
      <c r="N48" s="18">
        <v>32377</v>
      </c>
    </row>
    <row r="49" spans="1:14" x14ac:dyDescent="0.3">
      <c r="A49" s="9" t="s">
        <v>135</v>
      </c>
      <c r="B49" s="10" t="s">
        <v>126</v>
      </c>
      <c r="C49" s="10" t="s">
        <v>38</v>
      </c>
      <c r="D49" s="10" t="s">
        <v>24</v>
      </c>
      <c r="E49" s="10" t="s">
        <v>29</v>
      </c>
      <c r="F49" s="10" t="s">
        <v>19</v>
      </c>
      <c r="G49" s="19">
        <v>82</v>
      </c>
      <c r="H49" s="19">
        <v>9999</v>
      </c>
      <c r="I49" s="19">
        <v>819918</v>
      </c>
      <c r="J49" s="19">
        <v>794542</v>
      </c>
      <c r="K49" s="19">
        <v>10.6</v>
      </c>
      <c r="L49" s="19">
        <v>3</v>
      </c>
      <c r="M49" s="20">
        <f>Table4[[#This Row],[Total_Sales_INR]]*0.2</f>
        <v>163983.6</v>
      </c>
      <c r="N49" s="18">
        <v>742484</v>
      </c>
    </row>
    <row r="50" spans="1:14" x14ac:dyDescent="0.3">
      <c r="A50" s="8" t="s">
        <v>136</v>
      </c>
      <c r="B50" s="2" t="s">
        <v>41</v>
      </c>
      <c r="C50" s="2" t="s">
        <v>38</v>
      </c>
      <c r="D50" s="2" t="s">
        <v>28</v>
      </c>
      <c r="E50" s="2" t="s">
        <v>18</v>
      </c>
      <c r="F50" s="2" t="s">
        <v>39</v>
      </c>
      <c r="G50" s="16">
        <v>186</v>
      </c>
      <c r="H50" s="16">
        <v>499</v>
      </c>
      <c r="I50" s="16">
        <v>92814</v>
      </c>
      <c r="J50" s="16">
        <v>84573</v>
      </c>
      <c r="K50" s="16">
        <v>5.4</v>
      </c>
      <c r="L50" s="16">
        <v>9</v>
      </c>
      <c r="M50" s="17">
        <f>Table4[[#This Row],[Total_Sales_INR]]*0.2</f>
        <v>18562.8</v>
      </c>
      <c r="N50" s="18">
        <v>83008</v>
      </c>
    </row>
    <row r="51" spans="1:14" x14ac:dyDescent="0.3">
      <c r="A51" s="9" t="s">
        <v>137</v>
      </c>
      <c r="B51" s="10" t="s">
        <v>126</v>
      </c>
      <c r="C51" s="10" t="s">
        <v>48</v>
      </c>
      <c r="D51" s="10" t="s">
        <v>21</v>
      </c>
      <c r="E51" s="10" t="s">
        <v>25</v>
      </c>
      <c r="F51" s="10" t="s">
        <v>140</v>
      </c>
      <c r="G51" s="19">
        <v>30</v>
      </c>
      <c r="H51" s="19">
        <v>2499</v>
      </c>
      <c r="I51" s="19">
        <v>74970</v>
      </c>
      <c r="J51" s="19">
        <v>66649</v>
      </c>
      <c r="K51" s="19">
        <v>5.8</v>
      </c>
      <c r="L51" s="19">
        <v>1</v>
      </c>
      <c r="M51" s="20">
        <f>Table4[[#This Row],[Total_Sales_INR]]*0.2</f>
        <v>14994</v>
      </c>
      <c r="N51" s="18">
        <v>82495</v>
      </c>
    </row>
    <row r="52" spans="1:14" x14ac:dyDescent="0.3">
      <c r="A52" s="8" t="s">
        <v>141</v>
      </c>
      <c r="B52" s="2" t="s">
        <v>142</v>
      </c>
      <c r="C52" s="2" t="s">
        <v>60</v>
      </c>
      <c r="D52" s="2" t="s">
        <v>21</v>
      </c>
      <c r="E52" s="10" t="s">
        <v>18</v>
      </c>
      <c r="F52" s="2" t="s">
        <v>57</v>
      </c>
      <c r="G52" s="16">
        <v>191</v>
      </c>
      <c r="H52" s="16">
        <v>499</v>
      </c>
      <c r="I52" s="16">
        <v>95309</v>
      </c>
      <c r="J52" s="16">
        <v>102908</v>
      </c>
      <c r="K52" s="16">
        <v>2.2999999999999998</v>
      </c>
      <c r="L52" s="16">
        <v>9</v>
      </c>
      <c r="M52" s="17">
        <f>Table4[[#This Row],[Total_Sales_INR]]*0.2</f>
        <v>19061.8</v>
      </c>
      <c r="N52" s="18">
        <v>91902</v>
      </c>
    </row>
    <row r="53" spans="1:14" x14ac:dyDescent="0.3">
      <c r="A53" s="9" t="s">
        <v>143</v>
      </c>
      <c r="B53" s="10" t="s">
        <v>126</v>
      </c>
      <c r="C53" s="10" t="s">
        <v>48</v>
      </c>
      <c r="D53" s="10" t="s">
        <v>21</v>
      </c>
      <c r="E53" s="10" t="s">
        <v>25</v>
      </c>
      <c r="F53" s="10" t="s">
        <v>57</v>
      </c>
      <c r="G53" s="19">
        <v>10</v>
      </c>
      <c r="H53" s="19">
        <v>2499</v>
      </c>
      <c r="I53" s="19">
        <v>24990</v>
      </c>
      <c r="J53" s="19">
        <v>24011</v>
      </c>
      <c r="K53" s="19">
        <v>5.8</v>
      </c>
      <c r="L53" s="19">
        <v>0</v>
      </c>
      <c r="M53" s="20">
        <f>Table4[[#This Row],[Total_Sales_INR]]*0.2</f>
        <v>4998</v>
      </c>
      <c r="N53" s="18">
        <v>27322</v>
      </c>
    </row>
    <row r="54" spans="1:14" x14ac:dyDescent="0.3">
      <c r="A54" s="8" t="s">
        <v>362</v>
      </c>
      <c r="B54" s="2" t="s">
        <v>126</v>
      </c>
      <c r="C54" s="2" t="s">
        <v>48</v>
      </c>
      <c r="D54" s="2" t="s">
        <v>24</v>
      </c>
      <c r="E54" s="2" t="s">
        <v>29</v>
      </c>
      <c r="F54" s="2" t="s">
        <v>39</v>
      </c>
      <c r="G54" s="16">
        <v>142</v>
      </c>
      <c r="H54" s="16">
        <v>499</v>
      </c>
      <c r="I54" s="16">
        <v>70858</v>
      </c>
      <c r="J54" s="16">
        <v>77958</v>
      </c>
      <c r="K54" s="16">
        <v>13.1</v>
      </c>
      <c r="L54" s="16">
        <v>7</v>
      </c>
      <c r="M54" s="17">
        <f>Table4[[#This Row],[Total_Sales_INR]]*0.2</f>
        <v>14171.6</v>
      </c>
      <c r="N54" s="18">
        <v>61776</v>
      </c>
    </row>
    <row r="55" spans="1:14" x14ac:dyDescent="0.3">
      <c r="A55" s="9" t="s">
        <v>145</v>
      </c>
      <c r="B55" s="10" t="s">
        <v>126</v>
      </c>
      <c r="C55" s="10" t="s">
        <v>48</v>
      </c>
      <c r="D55" s="10" t="s">
        <v>28</v>
      </c>
      <c r="E55" s="10" t="s">
        <v>46</v>
      </c>
      <c r="F55" s="10" t="s">
        <v>57</v>
      </c>
      <c r="G55" s="19">
        <v>32</v>
      </c>
      <c r="H55" s="19">
        <v>999</v>
      </c>
      <c r="I55" s="19">
        <v>31968</v>
      </c>
      <c r="J55" s="19">
        <v>28006</v>
      </c>
      <c r="K55" s="19">
        <v>1.2</v>
      </c>
      <c r="L55" s="19">
        <v>2</v>
      </c>
      <c r="M55" s="20">
        <f>Table4[[#This Row],[Total_Sales_INR]]*0.2</f>
        <v>6393.6</v>
      </c>
      <c r="N55" s="18">
        <v>28585</v>
      </c>
    </row>
    <row r="56" spans="1:14" x14ac:dyDescent="0.3">
      <c r="A56" s="8" t="s">
        <v>146</v>
      </c>
      <c r="B56" s="2" t="s">
        <v>126</v>
      </c>
      <c r="C56" s="2" t="s">
        <v>16</v>
      </c>
      <c r="D56" s="2" t="s">
        <v>45</v>
      </c>
      <c r="E56" s="2" t="s">
        <v>29</v>
      </c>
      <c r="F56" s="2" t="s">
        <v>19</v>
      </c>
      <c r="G56" s="16">
        <v>185</v>
      </c>
      <c r="H56" s="16">
        <v>24999</v>
      </c>
      <c r="I56" s="16">
        <v>4624815</v>
      </c>
      <c r="J56" s="16">
        <v>4897373</v>
      </c>
      <c r="K56" s="16">
        <v>4.5</v>
      </c>
      <c r="L56" s="16">
        <v>7</v>
      </c>
      <c r="M56" s="17">
        <f>Table4[[#This Row],[Total_Sales_INR]]*0.2</f>
        <v>924963</v>
      </c>
      <c r="N56" s="18">
        <v>4960814</v>
      </c>
    </row>
    <row r="57" spans="1:14" x14ac:dyDescent="0.3">
      <c r="A57" s="9" t="s">
        <v>147</v>
      </c>
      <c r="B57" s="10" t="s">
        <v>126</v>
      </c>
      <c r="C57" s="10" t="s">
        <v>60</v>
      </c>
      <c r="D57" s="10" t="s">
        <v>17</v>
      </c>
      <c r="E57" s="10" t="s">
        <v>29</v>
      </c>
      <c r="F57" s="10" t="s">
        <v>26</v>
      </c>
      <c r="G57" s="19">
        <v>18</v>
      </c>
      <c r="H57" s="19">
        <v>1499</v>
      </c>
      <c r="I57" s="19">
        <v>26982</v>
      </c>
      <c r="J57" s="19">
        <v>27472</v>
      </c>
      <c r="K57" s="19">
        <v>1.8</v>
      </c>
      <c r="L57" s="19">
        <v>0</v>
      </c>
      <c r="M57" s="20">
        <f>Table4[[#This Row],[Total_Sales_INR]]*0.2</f>
        <v>5396.4000000000005</v>
      </c>
      <c r="N57" s="18">
        <v>23202</v>
      </c>
    </row>
    <row r="58" spans="1:14" x14ac:dyDescent="0.3">
      <c r="A58" s="8" t="s">
        <v>148</v>
      </c>
      <c r="B58" s="2" t="s">
        <v>126</v>
      </c>
      <c r="C58" s="2" t="s">
        <v>60</v>
      </c>
      <c r="D58" s="2" t="s">
        <v>21</v>
      </c>
      <c r="E58" s="2" t="s">
        <v>25</v>
      </c>
      <c r="F58" s="2" t="s">
        <v>26</v>
      </c>
      <c r="G58" s="16">
        <v>183</v>
      </c>
      <c r="H58" s="16">
        <v>24999</v>
      </c>
      <c r="I58" s="16">
        <v>4574817</v>
      </c>
      <c r="J58" s="16">
        <v>4974731</v>
      </c>
      <c r="K58" s="16">
        <v>6.8</v>
      </c>
      <c r="L58" s="16">
        <v>4</v>
      </c>
      <c r="M58" s="17">
        <f>Table4[[#This Row],[Total_Sales_INR]]*0.2</f>
        <v>914963.4</v>
      </c>
      <c r="N58" s="18">
        <v>5215936</v>
      </c>
    </row>
    <row r="59" spans="1:14" x14ac:dyDescent="0.3">
      <c r="A59" s="9" t="s">
        <v>363</v>
      </c>
      <c r="B59" s="10" t="s">
        <v>126</v>
      </c>
      <c r="C59" s="10" t="s">
        <v>60</v>
      </c>
      <c r="D59" s="10" t="s">
        <v>24</v>
      </c>
      <c r="E59" s="10" t="s">
        <v>25</v>
      </c>
      <c r="F59" s="10" t="s">
        <v>61</v>
      </c>
      <c r="G59" s="19">
        <v>37</v>
      </c>
      <c r="H59" s="19">
        <v>1499</v>
      </c>
      <c r="I59" s="19">
        <v>55463</v>
      </c>
      <c r="J59" s="19">
        <v>48470</v>
      </c>
      <c r="K59" s="19">
        <v>13.5</v>
      </c>
      <c r="L59" s="19">
        <v>0</v>
      </c>
      <c r="M59" s="20">
        <f>Table4[[#This Row],[Total_Sales_INR]]*0.2</f>
        <v>11092.6</v>
      </c>
      <c r="N59" s="18">
        <v>48942</v>
      </c>
    </row>
    <row r="60" spans="1:14" x14ac:dyDescent="0.3">
      <c r="A60" s="8" t="s">
        <v>150</v>
      </c>
      <c r="B60" s="2" t="s">
        <v>126</v>
      </c>
      <c r="C60" s="2" t="s">
        <v>60</v>
      </c>
      <c r="D60" s="2" t="s">
        <v>28</v>
      </c>
      <c r="E60" s="2" t="s">
        <v>22</v>
      </c>
      <c r="F60" s="2" t="s">
        <v>61</v>
      </c>
      <c r="G60" s="16">
        <v>23</v>
      </c>
      <c r="H60" s="16">
        <v>999</v>
      </c>
      <c r="I60" s="16">
        <v>22977</v>
      </c>
      <c r="J60" s="16">
        <v>24358</v>
      </c>
      <c r="K60" s="16">
        <v>11.3</v>
      </c>
      <c r="L60" s="16">
        <v>1</v>
      </c>
      <c r="M60" s="17">
        <f>Table4[[#This Row],[Total_Sales_INR]]*0.2</f>
        <v>4595.4000000000005</v>
      </c>
      <c r="N60" s="18">
        <v>26015</v>
      </c>
    </row>
    <row r="61" spans="1:14" x14ac:dyDescent="0.3">
      <c r="A61" s="8" t="s">
        <v>364</v>
      </c>
      <c r="B61" s="2" t="s">
        <v>126</v>
      </c>
      <c r="C61" s="2" t="s">
        <v>48</v>
      </c>
      <c r="D61" s="2" t="s">
        <v>45</v>
      </c>
      <c r="E61" s="2" t="s">
        <v>22</v>
      </c>
      <c r="F61" s="2" t="s">
        <v>26</v>
      </c>
      <c r="G61" s="16">
        <v>100</v>
      </c>
      <c r="H61" s="16">
        <v>1499</v>
      </c>
      <c r="I61" s="16">
        <v>149900</v>
      </c>
      <c r="J61" s="16">
        <v>163563</v>
      </c>
      <c r="K61" s="16">
        <v>9.9</v>
      </c>
      <c r="L61" s="16">
        <v>4</v>
      </c>
      <c r="M61" s="17">
        <f>Table4[[#This Row],[Total_Sales_INR]]*0.2</f>
        <v>29980</v>
      </c>
      <c r="N61" s="18">
        <v>153381</v>
      </c>
    </row>
    <row r="62" spans="1:14" x14ac:dyDescent="0.3">
      <c r="A62" s="8" t="s">
        <v>152</v>
      </c>
      <c r="B62" s="2" t="s">
        <v>79</v>
      </c>
      <c r="C62" s="2" t="s">
        <v>16</v>
      </c>
      <c r="D62" s="2" t="s">
        <v>17</v>
      </c>
      <c r="E62" s="2" t="s">
        <v>29</v>
      </c>
      <c r="F62" s="2" t="s">
        <v>61</v>
      </c>
      <c r="G62" s="16">
        <v>147</v>
      </c>
      <c r="H62" s="16">
        <v>4999</v>
      </c>
      <c r="I62" s="16">
        <v>734853</v>
      </c>
      <c r="J62" s="16">
        <v>769041</v>
      </c>
      <c r="K62" s="16">
        <v>2.1</v>
      </c>
      <c r="L62" s="16">
        <v>8</v>
      </c>
      <c r="M62" s="17">
        <f>Table4[[#This Row],[Total_Sales_INR]]*0.2</f>
        <v>146970.6</v>
      </c>
      <c r="N62" s="18">
        <v>743668</v>
      </c>
    </row>
    <row r="63" spans="1:14" x14ac:dyDescent="0.3">
      <c r="A63" s="9" t="s">
        <v>153</v>
      </c>
      <c r="B63" s="10" t="s">
        <v>79</v>
      </c>
      <c r="C63" s="10" t="s">
        <v>16</v>
      </c>
      <c r="D63" s="10" t="s">
        <v>21</v>
      </c>
      <c r="E63" s="10" t="s">
        <v>25</v>
      </c>
      <c r="F63" s="10" t="s">
        <v>19</v>
      </c>
      <c r="G63" s="19">
        <v>159</v>
      </c>
      <c r="H63" s="19">
        <v>24999</v>
      </c>
      <c r="I63" s="19">
        <v>3974841</v>
      </c>
      <c r="J63" s="19">
        <v>4762206</v>
      </c>
      <c r="K63" s="19">
        <v>9.1999999999999993</v>
      </c>
      <c r="L63" s="19">
        <v>7</v>
      </c>
      <c r="M63" s="20">
        <f>Table4[[#This Row],[Total_Sales_INR]]*0.2</f>
        <v>794968.20000000007</v>
      </c>
      <c r="N63" s="18">
        <v>3997630</v>
      </c>
    </row>
    <row r="64" spans="1:14" x14ac:dyDescent="0.3">
      <c r="A64" s="8" t="s">
        <v>154</v>
      </c>
      <c r="B64" s="2" t="s">
        <v>79</v>
      </c>
      <c r="C64" s="2" t="s">
        <v>16</v>
      </c>
      <c r="D64" s="2" t="s">
        <v>24</v>
      </c>
      <c r="E64" s="2" t="s">
        <v>22</v>
      </c>
      <c r="F64" s="2" t="s">
        <v>61</v>
      </c>
      <c r="G64" s="16">
        <v>63</v>
      </c>
      <c r="H64" s="16">
        <v>2499</v>
      </c>
      <c r="I64" s="16">
        <v>157437</v>
      </c>
      <c r="J64" s="16">
        <v>165021</v>
      </c>
      <c r="K64" s="16">
        <v>11.8</v>
      </c>
      <c r="L64" s="16">
        <v>2</v>
      </c>
      <c r="M64" s="17">
        <f>Table4[[#This Row],[Total_Sales_INR]]*0.2</f>
        <v>31487.4</v>
      </c>
      <c r="N64" s="18">
        <v>171074</v>
      </c>
    </row>
    <row r="65" spans="1:14" x14ac:dyDescent="0.3">
      <c r="A65" s="9" t="s">
        <v>155</v>
      </c>
      <c r="B65" s="10" t="s">
        <v>79</v>
      </c>
      <c r="C65" s="10" t="s">
        <v>16</v>
      </c>
      <c r="D65" s="10" t="s">
        <v>28</v>
      </c>
      <c r="E65" s="10" t="s">
        <v>25</v>
      </c>
      <c r="F65" s="10" t="s">
        <v>57</v>
      </c>
      <c r="G65" s="19">
        <v>63</v>
      </c>
      <c r="H65" s="19">
        <v>14999</v>
      </c>
      <c r="I65" s="19">
        <v>944937</v>
      </c>
      <c r="J65" s="19">
        <v>1098188</v>
      </c>
      <c r="K65" s="19">
        <v>12.1</v>
      </c>
      <c r="L65" s="19">
        <v>0</v>
      </c>
      <c r="M65" s="20">
        <f>Table4[[#This Row],[Total_Sales_INR]]*0.2</f>
        <v>188987.40000000002</v>
      </c>
      <c r="N65" s="18">
        <v>1029872</v>
      </c>
    </row>
    <row r="66" spans="1:14" x14ac:dyDescent="0.3">
      <c r="A66" s="8" t="s">
        <v>156</v>
      </c>
      <c r="B66" s="2" t="s">
        <v>37</v>
      </c>
      <c r="C66" s="2" t="s">
        <v>48</v>
      </c>
      <c r="D66" s="2" t="s">
        <v>24</v>
      </c>
      <c r="E66" s="2" t="s">
        <v>29</v>
      </c>
      <c r="F66" s="2" t="s">
        <v>57</v>
      </c>
      <c r="G66" s="16">
        <v>160</v>
      </c>
      <c r="H66" s="16">
        <v>14999</v>
      </c>
      <c r="I66" s="16">
        <v>2399840</v>
      </c>
      <c r="J66" s="16">
        <v>2793460</v>
      </c>
      <c r="K66" s="16">
        <v>9.1</v>
      </c>
      <c r="L66" s="16">
        <v>11</v>
      </c>
      <c r="M66" s="17">
        <f>Table4[[#This Row],[Total_Sales_INR]]*0.2</f>
        <v>479968</v>
      </c>
      <c r="N66" s="18">
        <v>2033961</v>
      </c>
    </row>
    <row r="67" spans="1:14" x14ac:dyDescent="0.3">
      <c r="A67" s="9" t="s">
        <v>157</v>
      </c>
      <c r="B67" s="10" t="s">
        <v>86</v>
      </c>
      <c r="C67" s="10" t="s">
        <v>60</v>
      </c>
      <c r="D67" s="10" t="s">
        <v>24</v>
      </c>
      <c r="E67" s="10" t="s">
        <v>46</v>
      </c>
      <c r="F67" s="10" t="s">
        <v>35</v>
      </c>
      <c r="G67" s="19">
        <v>24</v>
      </c>
      <c r="H67" s="19">
        <v>2499</v>
      </c>
      <c r="I67" s="19">
        <v>59976</v>
      </c>
      <c r="J67" s="19">
        <v>70628</v>
      </c>
      <c r="K67" s="19">
        <v>6.6</v>
      </c>
      <c r="L67" s="19">
        <v>1</v>
      </c>
      <c r="M67" s="20">
        <f>Table4[[#This Row],[Total_Sales_INR]]*0.2</f>
        <v>11995.2</v>
      </c>
      <c r="N67" s="18">
        <v>51917</v>
      </c>
    </row>
    <row r="68" spans="1:14" x14ac:dyDescent="0.3">
      <c r="A68" s="8" t="s">
        <v>160</v>
      </c>
      <c r="B68" s="2" t="s">
        <v>41</v>
      </c>
      <c r="C68" s="2" t="s">
        <v>38</v>
      </c>
      <c r="D68" s="2" t="s">
        <v>21</v>
      </c>
      <c r="E68" s="2" t="s">
        <v>25</v>
      </c>
      <c r="F68" s="2" t="s">
        <v>19</v>
      </c>
      <c r="G68" s="16">
        <v>18</v>
      </c>
      <c r="H68" s="16">
        <v>2499</v>
      </c>
      <c r="I68" s="16">
        <v>44982</v>
      </c>
      <c r="J68" s="16">
        <v>44733</v>
      </c>
      <c r="K68" s="16">
        <v>6.1</v>
      </c>
      <c r="L68" s="16">
        <v>0</v>
      </c>
      <c r="M68" s="17">
        <f>Table4[[#This Row],[Total_Sales_INR]]*0.2</f>
        <v>8996.4</v>
      </c>
      <c r="N68" s="18">
        <v>40949</v>
      </c>
    </row>
    <row r="69" spans="1:14" x14ac:dyDescent="0.3">
      <c r="A69" s="9" t="s">
        <v>162</v>
      </c>
      <c r="B69" s="10" t="s">
        <v>15</v>
      </c>
      <c r="C69" s="10" t="s">
        <v>48</v>
      </c>
      <c r="D69" s="10" t="s">
        <v>17</v>
      </c>
      <c r="E69" s="10" t="s">
        <v>46</v>
      </c>
      <c r="F69" s="10" t="s">
        <v>61</v>
      </c>
      <c r="G69" s="19">
        <v>28</v>
      </c>
      <c r="H69" s="19">
        <v>499</v>
      </c>
      <c r="I69" s="19">
        <v>13972</v>
      </c>
      <c r="J69" s="19">
        <v>14433</v>
      </c>
      <c r="K69" s="19">
        <v>13.6</v>
      </c>
      <c r="L69" s="19">
        <v>1</v>
      </c>
      <c r="M69" s="20">
        <f>Table4[[#This Row],[Total_Sales_INR]]*0.2</f>
        <v>2794.4</v>
      </c>
      <c r="N69" s="18">
        <v>12595</v>
      </c>
    </row>
    <row r="70" spans="1:14" x14ac:dyDescent="0.3">
      <c r="A70" s="8" t="s">
        <v>163</v>
      </c>
      <c r="B70" s="2" t="s">
        <v>183</v>
      </c>
      <c r="C70" s="2" t="s">
        <v>16</v>
      </c>
      <c r="D70" s="2" t="s">
        <v>24</v>
      </c>
      <c r="E70" s="2" t="s">
        <v>18</v>
      </c>
      <c r="F70" s="2" t="s">
        <v>19</v>
      </c>
      <c r="G70" s="16">
        <v>61</v>
      </c>
      <c r="H70" s="16">
        <v>999</v>
      </c>
      <c r="I70" s="16">
        <v>60939</v>
      </c>
      <c r="J70" s="16">
        <v>62432</v>
      </c>
      <c r="K70" s="16">
        <v>2.2999999999999998</v>
      </c>
      <c r="L70" s="16">
        <v>1</v>
      </c>
      <c r="M70" s="17">
        <f>Table4[[#This Row],[Total_Sales_INR]]*0.2</f>
        <v>12187.800000000001</v>
      </c>
      <c r="N70" s="18">
        <v>58885</v>
      </c>
    </row>
    <row r="71" spans="1:14" x14ac:dyDescent="0.3">
      <c r="A71" s="9" t="s">
        <v>165</v>
      </c>
      <c r="B71" s="10" t="s">
        <v>79</v>
      </c>
      <c r="C71" s="10" t="s">
        <v>38</v>
      </c>
      <c r="D71" s="10" t="s">
        <v>45</v>
      </c>
      <c r="E71" s="10" t="s">
        <v>18</v>
      </c>
      <c r="F71" s="10" t="s">
        <v>57</v>
      </c>
      <c r="G71" s="19">
        <v>166</v>
      </c>
      <c r="H71" s="19">
        <v>999</v>
      </c>
      <c r="I71" s="19">
        <v>165834</v>
      </c>
      <c r="J71" s="19">
        <v>183421</v>
      </c>
      <c r="K71" s="19">
        <v>7.2</v>
      </c>
      <c r="L71" s="19">
        <v>9</v>
      </c>
      <c r="M71" s="20">
        <f>Table4[[#This Row],[Total_Sales_INR]]*0.2</f>
        <v>33166.800000000003</v>
      </c>
      <c r="N71" s="18">
        <v>148815</v>
      </c>
    </row>
    <row r="72" spans="1:14" x14ac:dyDescent="0.3">
      <c r="A72" s="8" t="s">
        <v>166</v>
      </c>
      <c r="B72" s="2" t="s">
        <v>79</v>
      </c>
      <c r="C72" s="2" t="s">
        <v>48</v>
      </c>
      <c r="D72" s="2" t="s">
        <v>17</v>
      </c>
      <c r="E72" s="2" t="s">
        <v>29</v>
      </c>
      <c r="F72" s="2" t="s">
        <v>39</v>
      </c>
      <c r="G72" s="16">
        <v>12</v>
      </c>
      <c r="H72" s="16">
        <v>499</v>
      </c>
      <c r="I72" s="16">
        <v>5988</v>
      </c>
      <c r="J72" s="16">
        <v>6754</v>
      </c>
      <c r="K72" s="16">
        <v>2</v>
      </c>
      <c r="L72" s="16">
        <v>0</v>
      </c>
      <c r="M72" s="17">
        <f>Table4[[#This Row],[Total_Sales_INR]]*0.2</f>
        <v>1197.6000000000001</v>
      </c>
      <c r="N72" s="18">
        <v>5702</v>
      </c>
    </row>
    <row r="73" spans="1:14" x14ac:dyDescent="0.3">
      <c r="A73" s="9" t="s">
        <v>167</v>
      </c>
      <c r="B73" s="10" t="s">
        <v>41</v>
      </c>
      <c r="C73" s="10" t="s">
        <v>16</v>
      </c>
      <c r="D73" s="10" t="s">
        <v>28</v>
      </c>
      <c r="E73" s="10" t="s">
        <v>29</v>
      </c>
      <c r="F73" s="10" t="s">
        <v>61</v>
      </c>
      <c r="G73" s="19">
        <v>46</v>
      </c>
      <c r="H73" s="19">
        <v>999</v>
      </c>
      <c r="I73" s="19">
        <v>45954</v>
      </c>
      <c r="J73" s="19">
        <v>52080</v>
      </c>
      <c r="K73" s="19">
        <v>8.1999999999999993</v>
      </c>
      <c r="L73" s="19">
        <v>3</v>
      </c>
      <c r="M73" s="20">
        <f>Table4[[#This Row],[Total_Sales_INR]]*0.2</f>
        <v>9190.8000000000011</v>
      </c>
      <c r="N73" s="18">
        <v>47824</v>
      </c>
    </row>
    <row r="74" spans="1:14" x14ac:dyDescent="0.3">
      <c r="A74" s="8" t="s">
        <v>168</v>
      </c>
      <c r="B74" s="2" t="s">
        <v>79</v>
      </c>
      <c r="C74" s="2" t="s">
        <v>48</v>
      </c>
      <c r="D74" s="2" t="s">
        <v>24</v>
      </c>
      <c r="E74" s="2" t="s">
        <v>25</v>
      </c>
      <c r="F74" s="2" t="s">
        <v>26</v>
      </c>
      <c r="G74" s="16">
        <v>128</v>
      </c>
      <c r="H74" s="16">
        <v>2499</v>
      </c>
      <c r="I74" s="16">
        <v>319872</v>
      </c>
      <c r="J74" s="16">
        <v>289245</v>
      </c>
      <c r="K74" s="16">
        <v>2</v>
      </c>
      <c r="L74" s="16">
        <v>5</v>
      </c>
      <c r="M74" s="17">
        <f>Table4[[#This Row],[Total_Sales_INR]]*0.2</f>
        <v>63974.400000000001</v>
      </c>
      <c r="N74" s="18">
        <v>292373</v>
      </c>
    </row>
    <row r="75" spans="1:14" x14ac:dyDescent="0.3">
      <c r="A75" s="9" t="s">
        <v>169</v>
      </c>
      <c r="B75" s="10" t="s">
        <v>79</v>
      </c>
      <c r="C75" s="10" t="s">
        <v>48</v>
      </c>
      <c r="D75" s="10" t="s">
        <v>28</v>
      </c>
      <c r="E75" s="10" t="s">
        <v>25</v>
      </c>
      <c r="F75" s="10" t="s">
        <v>61</v>
      </c>
      <c r="G75" s="19">
        <v>78</v>
      </c>
      <c r="H75" s="19">
        <v>24999</v>
      </c>
      <c r="I75" s="19">
        <v>1949922</v>
      </c>
      <c r="J75" s="19">
        <v>2246251</v>
      </c>
      <c r="K75" s="19">
        <v>1.8</v>
      </c>
      <c r="L75" s="19">
        <v>0</v>
      </c>
      <c r="M75" s="20">
        <f>Table4[[#This Row],[Total_Sales_INR]]*0.2</f>
        <v>389984.4</v>
      </c>
      <c r="N75" s="18">
        <v>1587091</v>
      </c>
    </row>
    <row r="76" spans="1:14" x14ac:dyDescent="0.3">
      <c r="A76" s="11" t="s">
        <v>170</v>
      </c>
      <c r="B76" s="12" t="s">
        <v>79</v>
      </c>
      <c r="C76" s="12" t="s">
        <v>38</v>
      </c>
      <c r="D76" s="12" t="s">
        <v>45</v>
      </c>
      <c r="E76" s="12" t="s">
        <v>22</v>
      </c>
      <c r="F76" s="12" t="s">
        <v>57</v>
      </c>
      <c r="G76" s="21">
        <v>173</v>
      </c>
      <c r="H76" s="21">
        <v>1499</v>
      </c>
      <c r="I76" s="21">
        <v>259327</v>
      </c>
      <c r="J76" s="21">
        <v>222357</v>
      </c>
      <c r="K76" s="21">
        <v>4.2</v>
      </c>
      <c r="L76" s="21">
        <v>7</v>
      </c>
      <c r="M76" s="22">
        <f>Table4[[#This Row],[Total_Sales_INR]]*0.2</f>
        <v>51865.4</v>
      </c>
      <c r="N76" s="18">
        <v>242163</v>
      </c>
    </row>
    <row r="77" spans="1:14" x14ac:dyDescent="0.3">
      <c r="A77" s="9" t="s">
        <v>173</v>
      </c>
      <c r="B77" s="10" t="s">
        <v>92</v>
      </c>
      <c r="C77" s="10" t="s">
        <v>60</v>
      </c>
      <c r="D77" s="10" t="s">
        <v>17</v>
      </c>
      <c r="E77" s="10" t="s">
        <v>29</v>
      </c>
      <c r="F77" s="10" t="s">
        <v>57</v>
      </c>
      <c r="G77" s="19">
        <v>68</v>
      </c>
      <c r="H77" s="19">
        <v>14999</v>
      </c>
      <c r="I77" s="19">
        <v>1019932</v>
      </c>
      <c r="J77" s="19">
        <v>1207281</v>
      </c>
      <c r="K77" s="19">
        <v>3.1</v>
      </c>
      <c r="L77" s="19">
        <v>4</v>
      </c>
      <c r="M77" s="20">
        <f>Table4[[#This Row],[Total_Sales_INR]]*0.2</f>
        <v>203986.40000000002</v>
      </c>
      <c r="N77" s="18">
        <v>1103122</v>
      </c>
    </row>
    <row r="78" spans="1:14" x14ac:dyDescent="0.3">
      <c r="A78" s="8" t="s">
        <v>174</v>
      </c>
      <c r="B78" s="2" t="s">
        <v>86</v>
      </c>
      <c r="C78" s="2" t="s">
        <v>60</v>
      </c>
      <c r="D78" s="2" t="s">
        <v>17</v>
      </c>
      <c r="E78" s="2" t="s">
        <v>25</v>
      </c>
      <c r="F78" s="2" t="s">
        <v>19</v>
      </c>
      <c r="G78" s="16">
        <v>96</v>
      </c>
      <c r="H78" s="16">
        <v>499</v>
      </c>
      <c r="I78" s="16">
        <v>47904</v>
      </c>
      <c r="J78" s="16">
        <v>40748</v>
      </c>
      <c r="K78" s="16">
        <v>1.2</v>
      </c>
      <c r="L78" s="16">
        <v>0</v>
      </c>
      <c r="M78" s="17">
        <f>Table4[[#This Row],[Total_Sales_INR]]*0.2</f>
        <v>9580.8000000000011</v>
      </c>
      <c r="N78" s="18">
        <v>49435</v>
      </c>
    </row>
    <row r="79" spans="1:14" x14ac:dyDescent="0.3">
      <c r="A79" s="9" t="s">
        <v>175</v>
      </c>
      <c r="B79" s="10" t="s">
        <v>79</v>
      </c>
      <c r="C79" s="10" t="s">
        <v>60</v>
      </c>
      <c r="D79" s="10" t="s">
        <v>24</v>
      </c>
      <c r="E79" s="10" t="s">
        <v>18</v>
      </c>
      <c r="F79" s="10" t="s">
        <v>19</v>
      </c>
      <c r="G79" s="19">
        <v>76</v>
      </c>
      <c r="H79" s="19">
        <v>9999</v>
      </c>
      <c r="I79" s="19">
        <v>759924</v>
      </c>
      <c r="J79" s="19">
        <v>776452</v>
      </c>
      <c r="K79" s="19">
        <v>14.2</v>
      </c>
      <c r="L79" s="19">
        <v>4</v>
      </c>
      <c r="M79" s="20">
        <f>Table4[[#This Row],[Total_Sales_INR]]*0.2</f>
        <v>151984.80000000002</v>
      </c>
      <c r="N79" s="18">
        <v>666452</v>
      </c>
    </row>
    <row r="80" spans="1:14" x14ac:dyDescent="0.3">
      <c r="A80" s="8" t="s">
        <v>176</v>
      </c>
      <c r="B80" s="2" t="s">
        <v>92</v>
      </c>
      <c r="C80" s="2" t="s">
        <v>60</v>
      </c>
      <c r="D80" s="2" t="s">
        <v>28</v>
      </c>
      <c r="E80" s="2" t="s">
        <v>29</v>
      </c>
      <c r="F80" s="2" t="s">
        <v>61</v>
      </c>
      <c r="G80" s="16">
        <v>85</v>
      </c>
      <c r="H80" s="16">
        <v>4999</v>
      </c>
      <c r="I80" s="16">
        <v>424915</v>
      </c>
      <c r="J80" s="16">
        <v>488152</v>
      </c>
      <c r="K80" s="16">
        <v>5.4</v>
      </c>
      <c r="L80" s="16">
        <v>2</v>
      </c>
      <c r="M80" s="17">
        <f>Table4[[#This Row],[Total_Sales_INR]]*0.2</f>
        <v>84983</v>
      </c>
      <c r="N80" s="18">
        <v>354302</v>
      </c>
    </row>
    <row r="81" spans="1:14" x14ac:dyDescent="0.3">
      <c r="A81" s="8" t="s">
        <v>179</v>
      </c>
      <c r="B81" s="2" t="s">
        <v>37</v>
      </c>
      <c r="C81" s="2" t="s">
        <v>38</v>
      </c>
      <c r="D81" s="2" t="s">
        <v>45</v>
      </c>
      <c r="E81" s="2" t="s">
        <v>29</v>
      </c>
      <c r="F81" s="2" t="s">
        <v>57</v>
      </c>
      <c r="G81" s="16">
        <v>164</v>
      </c>
      <c r="H81" s="16">
        <v>9999</v>
      </c>
      <c r="I81" s="16">
        <v>1639836</v>
      </c>
      <c r="J81" s="16">
        <v>1570985</v>
      </c>
      <c r="K81" s="16">
        <v>11.8</v>
      </c>
      <c r="L81" s="16">
        <v>13</v>
      </c>
      <c r="M81" s="17">
        <f>Table4[[#This Row],[Total_Sales_INR]]*0.2</f>
        <v>327967.2</v>
      </c>
      <c r="N81" s="18">
        <v>1857697</v>
      </c>
    </row>
    <row r="82" spans="1:14" x14ac:dyDescent="0.3">
      <c r="A82" s="8" t="s">
        <v>180</v>
      </c>
      <c r="B82" s="2" t="s">
        <v>105</v>
      </c>
      <c r="C82" s="2" t="s">
        <v>16</v>
      </c>
      <c r="D82" s="2" t="s">
        <v>17</v>
      </c>
      <c r="E82" s="2" t="s">
        <v>46</v>
      </c>
      <c r="F82" s="2" t="s">
        <v>19</v>
      </c>
      <c r="G82" s="16">
        <v>54</v>
      </c>
      <c r="H82" s="16">
        <v>2499</v>
      </c>
      <c r="I82" s="16">
        <v>134946</v>
      </c>
      <c r="J82" s="16">
        <v>140884</v>
      </c>
      <c r="K82" s="16">
        <v>9.9</v>
      </c>
      <c r="L82" s="16">
        <v>0</v>
      </c>
      <c r="M82" s="17">
        <f>Table4[[#This Row],[Total_Sales_INR]]*0.2</f>
        <v>26989.200000000001</v>
      </c>
      <c r="N82" s="18">
        <v>133111</v>
      </c>
    </row>
    <row r="83" spans="1:14" x14ac:dyDescent="0.3">
      <c r="A83" s="9" t="s">
        <v>181</v>
      </c>
      <c r="B83" s="10" t="s">
        <v>105</v>
      </c>
      <c r="C83" s="10" t="s">
        <v>16</v>
      </c>
      <c r="D83" s="10" t="s">
        <v>21</v>
      </c>
      <c r="E83" s="10" t="s">
        <v>22</v>
      </c>
      <c r="F83" s="10" t="s">
        <v>26</v>
      </c>
      <c r="G83" s="19">
        <v>26</v>
      </c>
      <c r="H83" s="19">
        <v>2499</v>
      </c>
      <c r="I83" s="19">
        <v>64974</v>
      </c>
      <c r="J83" s="19">
        <v>67301</v>
      </c>
      <c r="K83" s="19">
        <v>9.5</v>
      </c>
      <c r="L83" s="19">
        <v>1</v>
      </c>
      <c r="M83" s="20">
        <f>Table4[[#This Row],[Total_Sales_INR]]*0.2</f>
        <v>12994.800000000001</v>
      </c>
      <c r="N83" s="18">
        <v>72203</v>
      </c>
    </row>
    <row r="84" spans="1:14" x14ac:dyDescent="0.3">
      <c r="A84" s="8" t="s">
        <v>182</v>
      </c>
      <c r="B84" s="2" t="s">
        <v>183</v>
      </c>
      <c r="C84" s="2" t="s">
        <v>48</v>
      </c>
      <c r="D84" s="2" t="s">
        <v>21</v>
      </c>
      <c r="E84" s="2" t="s">
        <v>22</v>
      </c>
      <c r="F84" s="2" t="s">
        <v>19</v>
      </c>
      <c r="G84" s="16">
        <v>36</v>
      </c>
      <c r="H84" s="16">
        <v>9999</v>
      </c>
      <c r="I84" s="16">
        <v>359964</v>
      </c>
      <c r="J84" s="16">
        <v>323446</v>
      </c>
      <c r="K84" s="16">
        <v>12.5</v>
      </c>
      <c r="L84" s="16">
        <v>1</v>
      </c>
      <c r="M84" s="17">
        <f>Table4[[#This Row],[Total_Sales_INR]]*0.2</f>
        <v>71992.800000000003</v>
      </c>
      <c r="N84" s="18">
        <v>296256</v>
      </c>
    </row>
    <row r="85" spans="1:14" x14ac:dyDescent="0.3">
      <c r="A85" s="9" t="s">
        <v>186</v>
      </c>
      <c r="B85" s="10" t="s">
        <v>15</v>
      </c>
      <c r="C85" s="10" t="s">
        <v>16</v>
      </c>
      <c r="D85" s="10" t="s">
        <v>28</v>
      </c>
      <c r="E85" s="10" t="s">
        <v>29</v>
      </c>
      <c r="F85" s="10" t="s">
        <v>19</v>
      </c>
      <c r="G85" s="19">
        <v>85</v>
      </c>
      <c r="H85" s="19">
        <v>1499</v>
      </c>
      <c r="I85" s="19">
        <v>127415</v>
      </c>
      <c r="J85" s="19">
        <v>143915</v>
      </c>
      <c r="K85" s="19">
        <v>6.7</v>
      </c>
      <c r="L85" s="19">
        <v>3</v>
      </c>
      <c r="M85" s="20">
        <f>Table4[[#This Row],[Total_Sales_INR]]*0.2</f>
        <v>25483</v>
      </c>
      <c r="N85" s="18">
        <v>128538</v>
      </c>
    </row>
    <row r="86" spans="1:14" x14ac:dyDescent="0.3">
      <c r="A86" s="8" t="s">
        <v>188</v>
      </c>
      <c r="B86" s="2" t="s">
        <v>41</v>
      </c>
      <c r="C86" s="2" t="s">
        <v>16</v>
      </c>
      <c r="D86" s="2" t="s">
        <v>17</v>
      </c>
      <c r="E86" s="2" t="s">
        <v>46</v>
      </c>
      <c r="F86" s="2" t="s">
        <v>39</v>
      </c>
      <c r="G86" s="16">
        <v>122</v>
      </c>
      <c r="H86" s="16">
        <v>999</v>
      </c>
      <c r="I86" s="16">
        <v>121878</v>
      </c>
      <c r="J86" s="16">
        <v>121901</v>
      </c>
      <c r="K86" s="16">
        <v>3.2</v>
      </c>
      <c r="L86" s="16">
        <v>2</v>
      </c>
      <c r="M86" s="17">
        <f>Table4[[#This Row],[Total_Sales_INR]]*0.2</f>
        <v>24375.600000000002</v>
      </c>
      <c r="N86" s="18">
        <v>131111</v>
      </c>
    </row>
    <row r="87" spans="1:14" x14ac:dyDescent="0.3">
      <c r="A87" s="9" t="s">
        <v>191</v>
      </c>
      <c r="B87" s="10" t="s">
        <v>105</v>
      </c>
      <c r="C87" s="10" t="s">
        <v>38</v>
      </c>
      <c r="D87" s="10" t="s">
        <v>17</v>
      </c>
      <c r="E87" s="10" t="s">
        <v>22</v>
      </c>
      <c r="F87" s="10" t="s">
        <v>61</v>
      </c>
      <c r="G87" s="19">
        <v>40</v>
      </c>
      <c r="H87" s="19">
        <v>4999</v>
      </c>
      <c r="I87" s="19">
        <v>199960</v>
      </c>
      <c r="J87" s="19">
        <v>219686</v>
      </c>
      <c r="K87" s="19">
        <v>0.9</v>
      </c>
      <c r="L87" s="19">
        <v>1</v>
      </c>
      <c r="M87" s="20">
        <f>Table4[[#This Row],[Total_Sales_INR]]*0.2</f>
        <v>39992</v>
      </c>
      <c r="N87" s="18">
        <v>202326</v>
      </c>
    </row>
    <row r="88" spans="1:14" x14ac:dyDescent="0.3">
      <c r="A88" s="8" t="s">
        <v>192</v>
      </c>
      <c r="B88" s="2" t="s">
        <v>105</v>
      </c>
      <c r="C88" s="2" t="s">
        <v>38</v>
      </c>
      <c r="D88" s="2" t="s">
        <v>21</v>
      </c>
      <c r="E88" s="2" t="s">
        <v>46</v>
      </c>
      <c r="F88" s="2" t="s">
        <v>19</v>
      </c>
      <c r="G88" s="16">
        <v>110</v>
      </c>
      <c r="H88" s="16">
        <v>2499</v>
      </c>
      <c r="I88" s="16">
        <v>274890</v>
      </c>
      <c r="J88" s="16">
        <v>328379</v>
      </c>
      <c r="K88" s="16">
        <v>5.2</v>
      </c>
      <c r="L88" s="16">
        <v>5</v>
      </c>
      <c r="M88" s="17">
        <f>Table4[[#This Row],[Total_Sales_INR]]*0.2</f>
        <v>54978</v>
      </c>
      <c r="N88" s="18">
        <v>248981</v>
      </c>
    </row>
    <row r="89" spans="1:14" x14ac:dyDescent="0.3">
      <c r="A89" s="9" t="s">
        <v>193</v>
      </c>
      <c r="B89" s="10" t="s">
        <v>126</v>
      </c>
      <c r="C89" s="10" t="s">
        <v>60</v>
      </c>
      <c r="D89" s="10" t="s">
        <v>28</v>
      </c>
      <c r="E89" s="2" t="s">
        <v>22</v>
      </c>
      <c r="F89" s="10" t="s">
        <v>112</v>
      </c>
      <c r="G89" s="19">
        <v>172</v>
      </c>
      <c r="H89" s="19">
        <v>499</v>
      </c>
      <c r="I89" s="19">
        <v>85828</v>
      </c>
      <c r="J89" s="19">
        <v>100793</v>
      </c>
      <c r="K89" s="19">
        <v>2.2999999999999998</v>
      </c>
      <c r="L89" s="19">
        <v>4</v>
      </c>
      <c r="M89" s="20">
        <f>Table4[[#This Row],[Total_Sales_INR]]*0.2</f>
        <v>17165.600000000002</v>
      </c>
      <c r="N89" s="18">
        <v>91652</v>
      </c>
    </row>
    <row r="90" spans="1:14" x14ac:dyDescent="0.3">
      <c r="A90" s="8" t="s">
        <v>195</v>
      </c>
      <c r="B90" s="2" t="s">
        <v>105</v>
      </c>
      <c r="C90" s="2" t="s">
        <v>38</v>
      </c>
      <c r="D90" s="2" t="s">
        <v>28</v>
      </c>
      <c r="E90" s="2" t="s">
        <v>29</v>
      </c>
      <c r="F90" s="2" t="s">
        <v>61</v>
      </c>
      <c r="G90" s="16">
        <v>49</v>
      </c>
      <c r="H90" s="16">
        <v>14999</v>
      </c>
      <c r="I90" s="16">
        <v>734951</v>
      </c>
      <c r="J90" s="16">
        <v>702628</v>
      </c>
      <c r="K90" s="16">
        <v>4.9000000000000004</v>
      </c>
      <c r="L90" s="16">
        <v>3</v>
      </c>
      <c r="M90" s="17">
        <f>Table4[[#This Row],[Total_Sales_INR]]*0.2</f>
        <v>146990.20000000001</v>
      </c>
      <c r="N90" s="18">
        <v>823618</v>
      </c>
    </row>
    <row r="91" spans="1:14" x14ac:dyDescent="0.3">
      <c r="A91" s="9" t="s">
        <v>196</v>
      </c>
      <c r="B91" s="10" t="s">
        <v>86</v>
      </c>
      <c r="C91" s="10" t="s">
        <v>60</v>
      </c>
      <c r="D91" s="10" t="s">
        <v>45</v>
      </c>
      <c r="E91" s="10" t="s">
        <v>46</v>
      </c>
      <c r="F91" s="10" t="s">
        <v>26</v>
      </c>
      <c r="G91" s="19">
        <v>153</v>
      </c>
      <c r="H91" s="19">
        <v>24999</v>
      </c>
      <c r="I91" s="19">
        <v>3824847</v>
      </c>
      <c r="J91" s="19">
        <v>4032504</v>
      </c>
      <c r="K91" s="19">
        <v>10.3</v>
      </c>
      <c r="L91" s="19">
        <v>9</v>
      </c>
      <c r="M91" s="20">
        <f>Table4[[#This Row],[Total_Sales_INR]]*0.2</f>
        <v>764969.4</v>
      </c>
      <c r="N91" s="18">
        <v>3203255</v>
      </c>
    </row>
    <row r="92" spans="1:14" x14ac:dyDescent="0.3">
      <c r="A92" s="8" t="s">
        <v>197</v>
      </c>
      <c r="B92" s="2" t="s">
        <v>79</v>
      </c>
      <c r="C92" s="2" t="s">
        <v>48</v>
      </c>
      <c r="D92" s="2" t="s">
        <v>17</v>
      </c>
      <c r="E92" s="2" t="s">
        <v>18</v>
      </c>
      <c r="F92" s="2" t="s">
        <v>103</v>
      </c>
      <c r="G92" s="16">
        <v>18</v>
      </c>
      <c r="H92" s="16">
        <v>9999</v>
      </c>
      <c r="I92" s="16">
        <v>179982</v>
      </c>
      <c r="J92" s="16">
        <v>153479</v>
      </c>
      <c r="K92" s="16">
        <v>13.6</v>
      </c>
      <c r="L92" s="16">
        <v>0</v>
      </c>
      <c r="M92" s="17">
        <f>Table4[[#This Row],[Total_Sales_INR]]*0.2</f>
        <v>35996.400000000001</v>
      </c>
      <c r="N92" s="18">
        <v>155941</v>
      </c>
    </row>
    <row r="93" spans="1:14" x14ac:dyDescent="0.3">
      <c r="A93" s="9" t="s">
        <v>198</v>
      </c>
      <c r="B93" s="10" t="s">
        <v>105</v>
      </c>
      <c r="C93" s="10" t="s">
        <v>48</v>
      </c>
      <c r="D93" s="10" t="s">
        <v>21</v>
      </c>
      <c r="E93" s="10" t="s">
        <v>29</v>
      </c>
      <c r="F93" s="10" t="s">
        <v>26</v>
      </c>
      <c r="G93" s="19">
        <v>186</v>
      </c>
      <c r="H93" s="19">
        <v>4999</v>
      </c>
      <c r="I93" s="19">
        <v>929814</v>
      </c>
      <c r="J93" s="19">
        <v>949661</v>
      </c>
      <c r="K93" s="19">
        <v>11.7</v>
      </c>
      <c r="L93" s="19">
        <v>14</v>
      </c>
      <c r="M93" s="20">
        <f>Table4[[#This Row],[Total_Sales_INR]]*0.2</f>
        <v>185962.80000000002</v>
      </c>
      <c r="N93" s="18">
        <v>827093</v>
      </c>
    </row>
    <row r="94" spans="1:14" x14ac:dyDescent="0.3">
      <c r="A94" s="8" t="s">
        <v>199</v>
      </c>
      <c r="B94" s="2" t="s">
        <v>37</v>
      </c>
      <c r="C94" s="2" t="s">
        <v>38</v>
      </c>
      <c r="D94" s="2" t="s">
        <v>28</v>
      </c>
      <c r="E94" s="2" t="s">
        <v>29</v>
      </c>
      <c r="F94" s="2" t="s">
        <v>57</v>
      </c>
      <c r="G94" s="16">
        <v>61</v>
      </c>
      <c r="H94" s="16">
        <v>24999</v>
      </c>
      <c r="I94" s="16">
        <v>1524939</v>
      </c>
      <c r="J94" s="16">
        <v>1373236</v>
      </c>
      <c r="K94" s="16">
        <v>3.4</v>
      </c>
      <c r="L94" s="16">
        <v>4</v>
      </c>
      <c r="M94" s="17">
        <f>Table4[[#This Row],[Total_Sales_INR]]*0.2</f>
        <v>304987.8</v>
      </c>
      <c r="N94" s="18">
        <v>1722042</v>
      </c>
    </row>
    <row r="95" spans="1:14" x14ac:dyDescent="0.3">
      <c r="A95" s="9" t="s">
        <v>200</v>
      </c>
      <c r="B95" s="10" t="s">
        <v>105</v>
      </c>
      <c r="C95" s="10" t="s">
        <v>48</v>
      </c>
      <c r="D95" s="10" t="s">
        <v>28</v>
      </c>
      <c r="E95" s="10" t="s">
        <v>18</v>
      </c>
      <c r="F95" s="10" t="s">
        <v>57</v>
      </c>
      <c r="G95" s="19">
        <v>122</v>
      </c>
      <c r="H95" s="19">
        <v>14999</v>
      </c>
      <c r="I95" s="19">
        <v>1829878</v>
      </c>
      <c r="J95" s="19">
        <v>1800675</v>
      </c>
      <c r="K95" s="19">
        <v>4.0999999999999996</v>
      </c>
      <c r="L95" s="19">
        <v>8</v>
      </c>
      <c r="M95" s="20">
        <f>Table4[[#This Row],[Total_Sales_INR]]*0.2</f>
        <v>365975.60000000003</v>
      </c>
      <c r="N95" s="18">
        <v>1511068</v>
      </c>
    </row>
    <row r="96" spans="1:14" x14ac:dyDescent="0.3">
      <c r="A96" s="8" t="s">
        <v>201</v>
      </c>
      <c r="B96" s="2" t="s">
        <v>183</v>
      </c>
      <c r="C96" s="2" t="s">
        <v>60</v>
      </c>
      <c r="D96" s="2" t="s">
        <v>21</v>
      </c>
      <c r="E96" s="2" t="s">
        <v>29</v>
      </c>
      <c r="F96" s="2" t="s">
        <v>112</v>
      </c>
      <c r="G96" s="16">
        <v>49</v>
      </c>
      <c r="H96" s="16">
        <v>2499</v>
      </c>
      <c r="I96" s="16">
        <v>122451</v>
      </c>
      <c r="J96" s="16">
        <v>114363</v>
      </c>
      <c r="K96" s="16">
        <v>0.6</v>
      </c>
      <c r="L96" s="16">
        <v>3</v>
      </c>
      <c r="M96" s="17">
        <f>Table4[[#This Row],[Total_Sales_INR]]*0.2</f>
        <v>24490.2</v>
      </c>
      <c r="N96" s="18">
        <v>126360</v>
      </c>
    </row>
    <row r="97" spans="1:14" x14ac:dyDescent="0.3">
      <c r="A97" s="9" t="s">
        <v>202</v>
      </c>
      <c r="B97" s="10" t="s">
        <v>105</v>
      </c>
      <c r="C97" s="10" t="s">
        <v>60</v>
      </c>
      <c r="D97" s="10" t="s">
        <v>17</v>
      </c>
      <c r="E97" s="10" t="s">
        <v>25</v>
      </c>
      <c r="F97" s="10" t="s">
        <v>61</v>
      </c>
      <c r="G97" s="19">
        <v>176</v>
      </c>
      <c r="H97" s="19">
        <v>9999</v>
      </c>
      <c r="I97" s="19">
        <v>1759824</v>
      </c>
      <c r="J97" s="19">
        <v>1506115</v>
      </c>
      <c r="K97" s="19">
        <v>14.8</v>
      </c>
      <c r="L97" s="19">
        <v>6</v>
      </c>
      <c r="M97" s="20">
        <f>Table4[[#This Row],[Total_Sales_INR]]*0.2</f>
        <v>351964.80000000005</v>
      </c>
      <c r="N97" s="18">
        <v>1423353</v>
      </c>
    </row>
    <row r="98" spans="1:14" x14ac:dyDescent="0.3">
      <c r="A98" s="8" t="s">
        <v>203</v>
      </c>
      <c r="B98" s="2" t="s">
        <v>105</v>
      </c>
      <c r="C98" s="2" t="s">
        <v>60</v>
      </c>
      <c r="D98" s="2" t="s">
        <v>21</v>
      </c>
      <c r="E98" s="2" t="s">
        <v>22</v>
      </c>
      <c r="F98" s="2" t="s">
        <v>39</v>
      </c>
      <c r="G98" s="16">
        <v>168</v>
      </c>
      <c r="H98" s="16">
        <v>14999</v>
      </c>
      <c r="I98" s="16">
        <v>2519832</v>
      </c>
      <c r="J98" s="16">
        <v>2487048</v>
      </c>
      <c r="K98" s="16">
        <v>12.8</v>
      </c>
      <c r="L98" s="16">
        <v>6</v>
      </c>
      <c r="M98" s="17">
        <f>Table4[[#This Row],[Total_Sales_INR]]*0.2</f>
        <v>503966.4</v>
      </c>
      <c r="N98" s="18">
        <v>2072114</v>
      </c>
    </row>
    <row r="99" spans="1:14" x14ac:dyDescent="0.3">
      <c r="A99" s="9" t="s">
        <v>204</v>
      </c>
      <c r="B99" s="10" t="s">
        <v>105</v>
      </c>
      <c r="C99" s="10" t="s">
        <v>60</v>
      </c>
      <c r="D99" s="10" t="s">
        <v>24</v>
      </c>
      <c r="E99" s="10" t="s">
        <v>29</v>
      </c>
      <c r="F99" s="10" t="s">
        <v>26</v>
      </c>
      <c r="G99" s="19">
        <v>179</v>
      </c>
      <c r="H99" s="19">
        <v>9999</v>
      </c>
      <c r="I99" s="19">
        <v>1789821</v>
      </c>
      <c r="J99" s="19">
        <v>2044599</v>
      </c>
      <c r="K99" s="19">
        <v>12.3</v>
      </c>
      <c r="L99" s="19">
        <v>6</v>
      </c>
      <c r="M99" s="20">
        <f>Table4[[#This Row],[Total_Sales_INR]]*0.2</f>
        <v>357964.2</v>
      </c>
      <c r="N99" s="18">
        <v>1627437</v>
      </c>
    </row>
    <row r="100" spans="1:14" x14ac:dyDescent="0.3">
      <c r="A100" s="8" t="s">
        <v>365</v>
      </c>
      <c r="B100" s="2" t="s">
        <v>105</v>
      </c>
      <c r="C100" s="2" t="s">
        <v>60</v>
      </c>
      <c r="D100" s="2" t="s">
        <v>28</v>
      </c>
      <c r="E100" s="2" t="s">
        <v>18</v>
      </c>
      <c r="F100" s="2" t="s">
        <v>61</v>
      </c>
      <c r="G100" s="16">
        <v>166</v>
      </c>
      <c r="H100" s="16">
        <v>4999</v>
      </c>
      <c r="I100" s="16">
        <v>829834</v>
      </c>
      <c r="J100" s="16">
        <v>767096</v>
      </c>
      <c r="K100" s="16">
        <v>8.1</v>
      </c>
      <c r="L100" s="16">
        <v>13</v>
      </c>
      <c r="M100" s="17">
        <f>Table4[[#This Row],[Total_Sales_INR]]*0.2</f>
        <v>165966.80000000002</v>
      </c>
      <c r="N100" s="18">
        <v>879098</v>
      </c>
    </row>
    <row r="101" spans="1:14" x14ac:dyDescent="0.3">
      <c r="A101" s="9" t="s">
        <v>206</v>
      </c>
      <c r="B101" s="10" t="s">
        <v>105</v>
      </c>
      <c r="C101" s="10" t="s">
        <v>38</v>
      </c>
      <c r="D101" s="10" t="s">
        <v>45</v>
      </c>
      <c r="E101" s="10" t="s">
        <v>22</v>
      </c>
      <c r="F101" s="10" t="s">
        <v>19</v>
      </c>
      <c r="G101" s="19">
        <v>11</v>
      </c>
      <c r="H101" s="19">
        <v>999</v>
      </c>
      <c r="I101" s="19">
        <v>10989</v>
      </c>
      <c r="J101" s="19">
        <v>10456</v>
      </c>
      <c r="K101" s="19">
        <v>11.2</v>
      </c>
      <c r="L101" s="19">
        <v>0</v>
      </c>
      <c r="M101" s="20">
        <f>Table4[[#This Row],[Total_Sales_INR]]*0.2</f>
        <v>2197.8000000000002</v>
      </c>
      <c r="N101" s="18">
        <v>11117</v>
      </c>
    </row>
    <row r="102" spans="1:14" x14ac:dyDescent="0.3">
      <c r="A102" s="11" t="s">
        <v>207</v>
      </c>
      <c r="B102" s="12" t="s">
        <v>105</v>
      </c>
      <c r="C102" s="12" t="s">
        <v>60</v>
      </c>
      <c r="D102" s="12" t="s">
        <v>45</v>
      </c>
      <c r="E102" s="12" t="s">
        <v>22</v>
      </c>
      <c r="F102" s="12" t="s">
        <v>61</v>
      </c>
      <c r="G102" s="21">
        <v>33</v>
      </c>
      <c r="H102" s="21">
        <v>499</v>
      </c>
      <c r="I102" s="21">
        <v>16467</v>
      </c>
      <c r="J102" s="21">
        <v>14553</v>
      </c>
      <c r="K102" s="21">
        <v>4.7</v>
      </c>
      <c r="L102" s="21">
        <v>2</v>
      </c>
      <c r="M102" s="22">
        <f>Table4[[#This Row],[Total_Sales_INR]]*0.2</f>
        <v>3293.4</v>
      </c>
      <c r="N102" s="18">
        <v>18302</v>
      </c>
    </row>
    <row r="103" spans="1:14" x14ac:dyDescent="0.3">
      <c r="A103" s="9" t="s">
        <v>366</v>
      </c>
      <c r="B103" s="10" t="s">
        <v>41</v>
      </c>
      <c r="C103" s="10" t="s">
        <v>16</v>
      </c>
      <c r="D103" s="10" t="s">
        <v>21</v>
      </c>
      <c r="E103" s="10" t="s">
        <v>29</v>
      </c>
      <c r="F103" s="10" t="s">
        <v>39</v>
      </c>
      <c r="G103" s="19">
        <v>58</v>
      </c>
      <c r="H103" s="19">
        <v>1499</v>
      </c>
      <c r="I103" s="19">
        <v>86942</v>
      </c>
      <c r="J103" s="19">
        <v>90511</v>
      </c>
      <c r="K103" s="19">
        <v>0.2</v>
      </c>
      <c r="L103" s="19">
        <v>4</v>
      </c>
      <c r="M103" s="20">
        <f>Table4[[#This Row],[Total_Sales_INR]]*0.2</f>
        <v>17388.400000000001</v>
      </c>
      <c r="N103" s="18">
        <v>74920</v>
      </c>
    </row>
    <row r="104" spans="1:14" x14ac:dyDescent="0.3">
      <c r="A104" s="8" t="s">
        <v>209</v>
      </c>
      <c r="B104" s="2" t="s">
        <v>41</v>
      </c>
      <c r="C104" s="2" t="s">
        <v>16</v>
      </c>
      <c r="D104" s="2" t="s">
        <v>24</v>
      </c>
      <c r="E104" s="2" t="s">
        <v>46</v>
      </c>
      <c r="F104" s="2" t="s">
        <v>61</v>
      </c>
      <c r="G104" s="16">
        <v>99</v>
      </c>
      <c r="H104" s="16">
        <v>2499</v>
      </c>
      <c r="I104" s="16">
        <v>247401</v>
      </c>
      <c r="J104" s="16">
        <v>287473</v>
      </c>
      <c r="K104" s="16">
        <v>11.4</v>
      </c>
      <c r="L104" s="16">
        <v>5</v>
      </c>
      <c r="M104" s="17">
        <f>Table4[[#This Row],[Total_Sales_INR]]*0.2</f>
        <v>49480.200000000004</v>
      </c>
      <c r="N104" s="18">
        <v>272704</v>
      </c>
    </row>
    <row r="105" spans="1:14" x14ac:dyDescent="0.3">
      <c r="A105" s="9" t="s">
        <v>210</v>
      </c>
      <c r="B105" s="10" t="s">
        <v>86</v>
      </c>
      <c r="C105" s="10" t="s">
        <v>16</v>
      </c>
      <c r="D105" s="10" t="s">
        <v>28</v>
      </c>
      <c r="E105" s="2" t="s">
        <v>29</v>
      </c>
      <c r="F105" s="10" t="s">
        <v>39</v>
      </c>
      <c r="G105" s="19">
        <v>86</v>
      </c>
      <c r="H105" s="19">
        <v>499</v>
      </c>
      <c r="I105" s="19">
        <v>42914</v>
      </c>
      <c r="J105" s="19">
        <v>38828</v>
      </c>
      <c r="K105" s="19">
        <v>0.8</v>
      </c>
      <c r="L105" s="19">
        <v>1</v>
      </c>
      <c r="M105" s="20">
        <f>Table4[[#This Row],[Total_Sales_INR]]*0.2</f>
        <v>8582.8000000000011</v>
      </c>
      <c r="N105" s="18">
        <v>44479</v>
      </c>
    </row>
    <row r="106" spans="1:14" x14ac:dyDescent="0.3">
      <c r="A106" s="8" t="s">
        <v>212</v>
      </c>
      <c r="B106" s="2" t="s">
        <v>126</v>
      </c>
      <c r="C106" s="2" t="s">
        <v>38</v>
      </c>
      <c r="D106" s="2" t="s">
        <v>45</v>
      </c>
      <c r="E106" s="2" t="s">
        <v>22</v>
      </c>
      <c r="F106" s="2" t="s">
        <v>26</v>
      </c>
      <c r="G106" s="16">
        <v>23</v>
      </c>
      <c r="H106" s="16">
        <v>1499</v>
      </c>
      <c r="I106" s="16">
        <v>34477</v>
      </c>
      <c r="J106" s="16">
        <v>30307</v>
      </c>
      <c r="K106" s="16">
        <v>12.4</v>
      </c>
      <c r="L106" s="16">
        <v>0</v>
      </c>
      <c r="M106" s="17">
        <f>Table4[[#This Row],[Total_Sales_INR]]*0.2</f>
        <v>6895.4000000000005</v>
      </c>
      <c r="N106" s="18">
        <v>28703</v>
      </c>
    </row>
    <row r="107" spans="1:14" x14ac:dyDescent="0.3">
      <c r="A107" s="9" t="s">
        <v>213</v>
      </c>
      <c r="B107" s="10" t="s">
        <v>41</v>
      </c>
      <c r="C107" s="10" t="s">
        <v>38</v>
      </c>
      <c r="D107" s="10" t="s">
        <v>17</v>
      </c>
      <c r="E107" s="10" t="s">
        <v>18</v>
      </c>
      <c r="F107" s="10" t="s">
        <v>61</v>
      </c>
      <c r="G107" s="19">
        <v>75</v>
      </c>
      <c r="H107" s="19">
        <v>9999</v>
      </c>
      <c r="I107" s="19">
        <v>749925</v>
      </c>
      <c r="J107" s="19">
        <v>871110</v>
      </c>
      <c r="K107" s="19">
        <v>13.2</v>
      </c>
      <c r="L107" s="19">
        <v>2</v>
      </c>
      <c r="M107" s="20">
        <f>Table4[[#This Row],[Total_Sales_INR]]*0.2</f>
        <v>149985</v>
      </c>
      <c r="N107" s="18">
        <v>786911</v>
      </c>
    </row>
    <row r="108" spans="1:14" x14ac:dyDescent="0.3">
      <c r="A108" s="8" t="s">
        <v>214</v>
      </c>
      <c r="B108" s="2" t="s">
        <v>41</v>
      </c>
      <c r="C108" s="2" t="s">
        <v>38</v>
      </c>
      <c r="D108" s="2" t="s">
        <v>21</v>
      </c>
      <c r="E108" s="2" t="s">
        <v>29</v>
      </c>
      <c r="F108" s="2" t="s">
        <v>19</v>
      </c>
      <c r="G108" s="16">
        <v>39</v>
      </c>
      <c r="H108" s="16">
        <v>1499</v>
      </c>
      <c r="I108" s="16">
        <v>58461</v>
      </c>
      <c r="J108" s="16">
        <v>61093</v>
      </c>
      <c r="K108" s="16">
        <v>4.5</v>
      </c>
      <c r="L108" s="16">
        <v>0</v>
      </c>
      <c r="M108" s="17">
        <f>Table4[[#This Row],[Total_Sales_INR]]*0.2</f>
        <v>11692.2</v>
      </c>
      <c r="N108" s="18">
        <v>66432</v>
      </c>
    </row>
    <row r="109" spans="1:14" x14ac:dyDescent="0.3">
      <c r="A109" s="9" t="s">
        <v>215</v>
      </c>
      <c r="B109" s="10" t="s">
        <v>41</v>
      </c>
      <c r="C109" s="10" t="s">
        <v>38</v>
      </c>
      <c r="D109" s="10" t="s">
        <v>24</v>
      </c>
      <c r="E109" s="10" t="s">
        <v>29</v>
      </c>
      <c r="F109" s="10" t="s">
        <v>39</v>
      </c>
      <c r="G109" s="19">
        <v>27</v>
      </c>
      <c r="H109" s="19">
        <v>1499</v>
      </c>
      <c r="I109" s="19">
        <v>40473</v>
      </c>
      <c r="J109" s="19">
        <v>39029</v>
      </c>
      <c r="K109" s="19">
        <v>3.8</v>
      </c>
      <c r="L109" s="19">
        <v>1</v>
      </c>
      <c r="M109" s="20">
        <f>Table4[[#This Row],[Total_Sales_INR]]*0.2</f>
        <v>8094.6</v>
      </c>
      <c r="N109" s="18">
        <v>45663</v>
      </c>
    </row>
    <row r="110" spans="1:14" x14ac:dyDescent="0.3">
      <c r="A110" s="8" t="s">
        <v>216</v>
      </c>
      <c r="B110" s="2" t="s">
        <v>41</v>
      </c>
      <c r="C110" s="2" t="s">
        <v>38</v>
      </c>
      <c r="D110" s="2" t="s">
        <v>28</v>
      </c>
      <c r="E110" s="2" t="s">
        <v>18</v>
      </c>
      <c r="F110" s="2" t="s">
        <v>61</v>
      </c>
      <c r="G110" s="16">
        <v>143</v>
      </c>
      <c r="H110" s="16">
        <v>1499</v>
      </c>
      <c r="I110" s="16">
        <v>214357</v>
      </c>
      <c r="J110" s="16">
        <v>228118</v>
      </c>
      <c r="K110" s="16">
        <v>1.1000000000000001</v>
      </c>
      <c r="L110" s="16">
        <v>6</v>
      </c>
      <c r="M110" s="17">
        <f>Table4[[#This Row],[Total_Sales_INR]]*0.2</f>
        <v>42871.4</v>
      </c>
      <c r="N110" s="18">
        <v>181500</v>
      </c>
    </row>
    <row r="111" spans="1:14" x14ac:dyDescent="0.3">
      <c r="A111" s="8" t="s">
        <v>217</v>
      </c>
      <c r="B111" s="2" t="s">
        <v>41</v>
      </c>
      <c r="C111" s="2" t="s">
        <v>16</v>
      </c>
      <c r="D111" s="2" t="s">
        <v>45</v>
      </c>
      <c r="E111" s="2" t="s">
        <v>25</v>
      </c>
      <c r="F111" s="2" t="s">
        <v>39</v>
      </c>
      <c r="G111" s="16">
        <v>183</v>
      </c>
      <c r="H111" s="16">
        <v>4999</v>
      </c>
      <c r="I111" s="16">
        <v>914817</v>
      </c>
      <c r="J111" s="16">
        <v>967611</v>
      </c>
      <c r="K111" s="16">
        <v>0</v>
      </c>
      <c r="L111" s="16">
        <v>3</v>
      </c>
      <c r="M111" s="17">
        <f>Table4[[#This Row],[Total_Sales_INR]]*0.2</f>
        <v>182963.40000000002</v>
      </c>
      <c r="N111" s="18">
        <v>927176</v>
      </c>
    </row>
    <row r="112" spans="1:14" x14ac:dyDescent="0.3">
      <c r="A112" s="8" t="s">
        <v>218</v>
      </c>
      <c r="B112" s="2" t="s">
        <v>41</v>
      </c>
      <c r="C112" s="2" t="s">
        <v>48</v>
      </c>
      <c r="D112" s="2" t="s">
        <v>17</v>
      </c>
      <c r="E112" s="2" t="s">
        <v>25</v>
      </c>
      <c r="F112" s="2" t="s">
        <v>19</v>
      </c>
      <c r="G112" s="16">
        <v>121</v>
      </c>
      <c r="H112" s="16">
        <v>9999</v>
      </c>
      <c r="I112" s="16">
        <v>1209879</v>
      </c>
      <c r="J112" s="16">
        <v>1426645</v>
      </c>
      <c r="K112" s="16">
        <v>3</v>
      </c>
      <c r="L112" s="16">
        <v>2</v>
      </c>
      <c r="M112" s="17">
        <f>Table4[[#This Row],[Total_Sales_INR]]*0.2</f>
        <v>241975.80000000002</v>
      </c>
      <c r="N112" s="18">
        <v>1192372</v>
      </c>
    </row>
    <row r="113" spans="1:14" x14ac:dyDescent="0.3">
      <c r="A113" s="9" t="s">
        <v>367</v>
      </c>
      <c r="B113" s="10" t="s">
        <v>41</v>
      </c>
      <c r="C113" s="10" t="s">
        <v>38</v>
      </c>
      <c r="D113" s="10" t="s">
        <v>45</v>
      </c>
      <c r="E113" s="10" t="s">
        <v>46</v>
      </c>
      <c r="F113" s="10" t="s">
        <v>19</v>
      </c>
      <c r="G113" s="19">
        <v>56</v>
      </c>
      <c r="H113" s="19">
        <v>1499</v>
      </c>
      <c r="I113" s="19">
        <v>83944</v>
      </c>
      <c r="J113" s="19">
        <v>74695</v>
      </c>
      <c r="K113" s="19">
        <v>6</v>
      </c>
      <c r="L113" s="19">
        <v>0</v>
      </c>
      <c r="M113" s="20">
        <f>Table4[[#This Row],[Total_Sales_INR]]*0.2</f>
        <v>16788.8</v>
      </c>
      <c r="N113" s="18">
        <v>94590</v>
      </c>
    </row>
    <row r="114" spans="1:14" x14ac:dyDescent="0.3">
      <c r="A114" s="8" t="s">
        <v>220</v>
      </c>
      <c r="B114" s="2" t="s">
        <v>41</v>
      </c>
      <c r="C114" s="2" t="s">
        <v>48</v>
      </c>
      <c r="D114" s="2" t="s">
        <v>24</v>
      </c>
      <c r="E114" s="2" t="s">
        <v>46</v>
      </c>
      <c r="F114" s="2" t="s">
        <v>57</v>
      </c>
      <c r="G114" s="16">
        <v>50</v>
      </c>
      <c r="H114" s="16">
        <v>999</v>
      </c>
      <c r="I114" s="16">
        <v>49950</v>
      </c>
      <c r="J114" s="16">
        <v>51584</v>
      </c>
      <c r="K114" s="16">
        <v>3.2</v>
      </c>
      <c r="L114" s="16">
        <v>2</v>
      </c>
      <c r="M114" s="17">
        <f>Table4[[#This Row],[Total_Sales_INR]]*0.2</f>
        <v>9990</v>
      </c>
      <c r="N114" s="18">
        <v>45252</v>
      </c>
    </row>
    <row r="115" spans="1:14" x14ac:dyDescent="0.3">
      <c r="A115" s="9" t="s">
        <v>368</v>
      </c>
      <c r="B115" s="10" t="s">
        <v>79</v>
      </c>
      <c r="C115" s="10" t="s">
        <v>38</v>
      </c>
      <c r="D115" s="10" t="s">
        <v>24</v>
      </c>
      <c r="E115" s="10" t="s">
        <v>29</v>
      </c>
      <c r="F115" s="10" t="s">
        <v>112</v>
      </c>
      <c r="G115" s="19">
        <v>155</v>
      </c>
      <c r="H115" s="19">
        <v>14999</v>
      </c>
      <c r="I115" s="19">
        <v>2324845</v>
      </c>
      <c r="J115" s="19">
        <v>2594636</v>
      </c>
      <c r="K115" s="19">
        <v>1.3</v>
      </c>
      <c r="L115" s="19">
        <v>10</v>
      </c>
      <c r="M115" s="20">
        <f>Table4[[#This Row],[Total_Sales_INR]]*0.2</f>
        <v>464969</v>
      </c>
      <c r="N115" s="18">
        <v>2295113</v>
      </c>
    </row>
    <row r="116" spans="1:14" x14ac:dyDescent="0.3">
      <c r="A116" s="8" t="s">
        <v>222</v>
      </c>
      <c r="B116" s="2" t="s">
        <v>41</v>
      </c>
      <c r="C116" s="2" t="s">
        <v>48</v>
      </c>
      <c r="D116" s="2" t="s">
        <v>45</v>
      </c>
      <c r="E116" s="2" t="s">
        <v>46</v>
      </c>
      <c r="F116" s="2" t="s">
        <v>61</v>
      </c>
      <c r="G116" s="16">
        <v>73</v>
      </c>
      <c r="H116" s="16">
        <v>499</v>
      </c>
      <c r="I116" s="16">
        <v>36427</v>
      </c>
      <c r="J116" s="16">
        <v>41552</v>
      </c>
      <c r="K116" s="16">
        <v>12.5</v>
      </c>
      <c r="L116" s="16">
        <v>0</v>
      </c>
      <c r="M116" s="17">
        <f>Table4[[#This Row],[Total_Sales_INR]]*0.2</f>
        <v>7285.4000000000005</v>
      </c>
      <c r="N116" s="18">
        <v>31713</v>
      </c>
    </row>
    <row r="117" spans="1:14" x14ac:dyDescent="0.3">
      <c r="A117" s="9" t="s">
        <v>223</v>
      </c>
      <c r="B117" s="10" t="s">
        <v>86</v>
      </c>
      <c r="C117" s="10" t="s">
        <v>38</v>
      </c>
      <c r="D117" s="10" t="s">
        <v>28</v>
      </c>
      <c r="E117" s="2" t="s">
        <v>22</v>
      </c>
      <c r="F117" s="10" t="s">
        <v>19</v>
      </c>
      <c r="G117" s="19">
        <v>88</v>
      </c>
      <c r="H117" s="19">
        <v>9999</v>
      </c>
      <c r="I117" s="19">
        <v>879912</v>
      </c>
      <c r="J117" s="19">
        <v>868218</v>
      </c>
      <c r="K117" s="19">
        <v>3.8</v>
      </c>
      <c r="L117" s="19">
        <v>6</v>
      </c>
      <c r="M117" s="20">
        <f>Table4[[#This Row],[Total_Sales_INR]]*0.2</f>
        <v>175982.40000000002</v>
      </c>
      <c r="N117" s="18">
        <v>968435</v>
      </c>
    </row>
    <row r="118" spans="1:14" x14ac:dyDescent="0.3">
      <c r="A118" s="8" t="s">
        <v>224</v>
      </c>
      <c r="B118" s="2" t="s">
        <v>126</v>
      </c>
      <c r="C118" s="2" t="s">
        <v>60</v>
      </c>
      <c r="D118" s="2" t="s">
        <v>21</v>
      </c>
      <c r="E118" s="2" t="s">
        <v>25</v>
      </c>
      <c r="F118" s="2" t="s">
        <v>61</v>
      </c>
      <c r="G118" s="16">
        <v>28</v>
      </c>
      <c r="H118" s="16">
        <v>2499</v>
      </c>
      <c r="I118" s="16">
        <v>69972</v>
      </c>
      <c r="J118" s="16">
        <v>76529</v>
      </c>
      <c r="K118" s="16">
        <v>8</v>
      </c>
      <c r="L118" s="16">
        <v>2</v>
      </c>
      <c r="M118" s="17">
        <f>Table4[[#This Row],[Total_Sales_INR]]*0.2</f>
        <v>13994.400000000001</v>
      </c>
      <c r="N118" s="18">
        <v>78723</v>
      </c>
    </row>
    <row r="119" spans="1:14" x14ac:dyDescent="0.3">
      <c r="A119" s="9" t="s">
        <v>225</v>
      </c>
      <c r="B119" s="10" t="s">
        <v>41</v>
      </c>
      <c r="C119" s="10" t="s">
        <v>60</v>
      </c>
      <c r="D119" s="10" t="s">
        <v>24</v>
      </c>
      <c r="E119" s="10" t="s">
        <v>18</v>
      </c>
      <c r="F119" s="10" t="s">
        <v>39</v>
      </c>
      <c r="G119" s="19">
        <v>189</v>
      </c>
      <c r="H119" s="19">
        <v>4999</v>
      </c>
      <c r="I119" s="19">
        <v>944811</v>
      </c>
      <c r="J119" s="19">
        <v>921309</v>
      </c>
      <c r="K119" s="19">
        <v>7.9</v>
      </c>
      <c r="L119" s="19">
        <v>6</v>
      </c>
      <c r="M119" s="20">
        <f>Table4[[#This Row],[Total_Sales_INR]]*0.2</f>
        <v>188962.2</v>
      </c>
      <c r="N119" s="18">
        <v>1013683</v>
      </c>
    </row>
    <row r="120" spans="1:14" x14ac:dyDescent="0.3">
      <c r="A120" s="8" t="s">
        <v>226</v>
      </c>
      <c r="B120" s="2" t="s">
        <v>41</v>
      </c>
      <c r="C120" s="2" t="s">
        <v>60</v>
      </c>
      <c r="D120" s="2" t="s">
        <v>28</v>
      </c>
      <c r="E120" s="2" t="s">
        <v>46</v>
      </c>
      <c r="F120" s="2" t="s">
        <v>61</v>
      </c>
      <c r="G120" s="16">
        <v>30</v>
      </c>
      <c r="H120" s="16">
        <v>4999</v>
      </c>
      <c r="I120" s="16">
        <v>149970</v>
      </c>
      <c r="J120" s="16">
        <v>148352</v>
      </c>
      <c r="K120" s="16">
        <v>10.5</v>
      </c>
      <c r="L120" s="16">
        <v>0</v>
      </c>
      <c r="M120" s="17">
        <f>Table4[[#This Row],[Total_Sales_INR]]*0.2</f>
        <v>29994</v>
      </c>
      <c r="N120" s="18">
        <v>154291</v>
      </c>
    </row>
    <row r="121" spans="1:14" x14ac:dyDescent="0.3">
      <c r="A121" s="9" t="s">
        <v>227</v>
      </c>
      <c r="B121" s="10" t="s">
        <v>41</v>
      </c>
      <c r="C121" s="10" t="s">
        <v>60</v>
      </c>
      <c r="D121" s="10" t="s">
        <v>45</v>
      </c>
      <c r="E121" s="10" t="s">
        <v>46</v>
      </c>
      <c r="F121" s="10" t="s">
        <v>61</v>
      </c>
      <c r="G121" s="19">
        <v>100</v>
      </c>
      <c r="H121" s="19">
        <v>9999</v>
      </c>
      <c r="I121" s="19">
        <v>999900</v>
      </c>
      <c r="J121" s="19">
        <v>1151075</v>
      </c>
      <c r="K121" s="19">
        <v>12.3</v>
      </c>
      <c r="L121" s="19">
        <v>4</v>
      </c>
      <c r="M121" s="20">
        <f>Table4[[#This Row],[Total_Sales_INR]]*0.2</f>
        <v>199980</v>
      </c>
      <c r="N121" s="18">
        <v>1076393</v>
      </c>
    </row>
    <row r="122" spans="1:14" x14ac:dyDescent="0.3">
      <c r="A122" s="8" t="s">
        <v>228</v>
      </c>
      <c r="B122" s="2" t="s">
        <v>142</v>
      </c>
      <c r="C122" s="2" t="s">
        <v>16</v>
      </c>
      <c r="D122" s="2" t="s">
        <v>17</v>
      </c>
      <c r="E122" s="2" t="s">
        <v>29</v>
      </c>
      <c r="F122" s="2" t="s">
        <v>19</v>
      </c>
      <c r="G122" s="16">
        <v>34</v>
      </c>
      <c r="H122" s="16">
        <v>499</v>
      </c>
      <c r="I122" s="16">
        <v>16966</v>
      </c>
      <c r="J122" s="16">
        <v>19182</v>
      </c>
      <c r="K122" s="16">
        <v>4.7</v>
      </c>
      <c r="L122" s="16">
        <v>1</v>
      </c>
      <c r="M122" s="17">
        <f>Table4[[#This Row],[Total_Sales_INR]]*0.2</f>
        <v>3393.2000000000003</v>
      </c>
      <c r="N122" s="18">
        <v>14874</v>
      </c>
    </row>
    <row r="123" spans="1:14" x14ac:dyDescent="0.3">
      <c r="A123" s="9" t="s">
        <v>229</v>
      </c>
      <c r="B123" s="10" t="s">
        <v>142</v>
      </c>
      <c r="C123" s="10" t="s">
        <v>16</v>
      </c>
      <c r="D123" s="10" t="s">
        <v>21</v>
      </c>
      <c r="E123" s="10" t="s">
        <v>46</v>
      </c>
      <c r="F123" s="10" t="s">
        <v>26</v>
      </c>
      <c r="G123" s="19">
        <v>26</v>
      </c>
      <c r="H123" s="19">
        <v>9999</v>
      </c>
      <c r="I123" s="19">
        <v>259974</v>
      </c>
      <c r="J123" s="19">
        <v>293564</v>
      </c>
      <c r="K123" s="19">
        <v>8.6</v>
      </c>
      <c r="L123" s="19">
        <v>1</v>
      </c>
      <c r="M123" s="20">
        <f>Table4[[#This Row],[Total_Sales_INR]]*0.2</f>
        <v>51994.8</v>
      </c>
      <c r="N123" s="18">
        <v>263696</v>
      </c>
    </row>
    <row r="124" spans="1:14" x14ac:dyDescent="0.3">
      <c r="A124" s="8" t="s">
        <v>230</v>
      </c>
      <c r="B124" s="2" t="s">
        <v>142</v>
      </c>
      <c r="C124" s="2" t="s">
        <v>16</v>
      </c>
      <c r="D124" s="2" t="s">
        <v>24</v>
      </c>
      <c r="E124" s="2" t="s">
        <v>18</v>
      </c>
      <c r="F124" s="2" t="s">
        <v>19</v>
      </c>
      <c r="G124" s="16">
        <v>116</v>
      </c>
      <c r="H124" s="16">
        <v>2499</v>
      </c>
      <c r="I124" s="16">
        <v>289884</v>
      </c>
      <c r="J124" s="16">
        <v>278433</v>
      </c>
      <c r="K124" s="16">
        <v>10.1</v>
      </c>
      <c r="L124" s="16">
        <v>3</v>
      </c>
      <c r="M124" s="17">
        <f>Table4[[#This Row],[Total_Sales_INR]]*0.2</f>
        <v>57976.800000000003</v>
      </c>
      <c r="N124" s="18">
        <v>301068</v>
      </c>
    </row>
    <row r="125" spans="1:14" x14ac:dyDescent="0.3">
      <c r="A125" s="9" t="s">
        <v>231</v>
      </c>
      <c r="B125" s="10" t="s">
        <v>142</v>
      </c>
      <c r="C125" s="10" t="s">
        <v>16</v>
      </c>
      <c r="D125" s="10" t="s">
        <v>28</v>
      </c>
      <c r="E125" s="10" t="s">
        <v>25</v>
      </c>
      <c r="F125" s="10" t="s">
        <v>39</v>
      </c>
      <c r="G125" s="19">
        <v>156</v>
      </c>
      <c r="H125" s="19">
        <v>2499</v>
      </c>
      <c r="I125" s="19">
        <v>389844</v>
      </c>
      <c r="J125" s="19">
        <v>465772</v>
      </c>
      <c r="K125" s="19">
        <v>3.9</v>
      </c>
      <c r="L125" s="19">
        <v>6</v>
      </c>
      <c r="M125" s="20">
        <f>Table4[[#This Row],[Total_Sales_INR]]*0.2</f>
        <v>77968.800000000003</v>
      </c>
      <c r="N125" s="18">
        <v>335983</v>
      </c>
    </row>
    <row r="126" spans="1:14" x14ac:dyDescent="0.3">
      <c r="A126" s="8" t="s">
        <v>232</v>
      </c>
      <c r="B126" s="2" t="s">
        <v>41</v>
      </c>
      <c r="C126" s="2" t="s">
        <v>16</v>
      </c>
      <c r="D126" s="2" t="s">
        <v>17</v>
      </c>
      <c r="E126" s="2" t="s">
        <v>46</v>
      </c>
      <c r="F126" s="2" t="s">
        <v>26</v>
      </c>
      <c r="G126" s="16">
        <v>29</v>
      </c>
      <c r="H126" s="16">
        <v>1499</v>
      </c>
      <c r="I126" s="16">
        <v>43471</v>
      </c>
      <c r="J126" s="16">
        <v>41121</v>
      </c>
      <c r="K126" s="16">
        <v>6.8</v>
      </c>
      <c r="L126" s="16">
        <v>2</v>
      </c>
      <c r="M126" s="17">
        <f>Table4[[#This Row],[Total_Sales_INR]]*0.2</f>
        <v>8694.2000000000007</v>
      </c>
      <c r="N126" s="18">
        <v>48857</v>
      </c>
    </row>
    <row r="127" spans="1:14" x14ac:dyDescent="0.3">
      <c r="A127" s="9" t="s">
        <v>234</v>
      </c>
      <c r="B127" s="10" t="s">
        <v>142</v>
      </c>
      <c r="C127" s="10" t="s">
        <v>38</v>
      </c>
      <c r="D127" s="10" t="s">
        <v>17</v>
      </c>
      <c r="E127" s="10" t="s">
        <v>29</v>
      </c>
      <c r="F127" s="10" t="s">
        <v>39</v>
      </c>
      <c r="G127" s="19">
        <v>20</v>
      </c>
      <c r="H127" s="19">
        <v>4999</v>
      </c>
      <c r="I127" s="19">
        <v>99980</v>
      </c>
      <c r="J127" s="19">
        <v>91350</v>
      </c>
      <c r="K127" s="19">
        <v>11.3</v>
      </c>
      <c r="L127" s="19">
        <v>0</v>
      </c>
      <c r="M127" s="20">
        <f>Table4[[#This Row],[Total_Sales_INR]]*0.2</f>
        <v>19996</v>
      </c>
      <c r="N127" s="18">
        <v>89214</v>
      </c>
    </row>
    <row r="128" spans="1:14" x14ac:dyDescent="0.3">
      <c r="A128" s="8" t="s">
        <v>235</v>
      </c>
      <c r="B128" s="2" t="s">
        <v>142</v>
      </c>
      <c r="C128" s="2" t="s">
        <v>38</v>
      </c>
      <c r="D128" s="2" t="s">
        <v>21</v>
      </c>
      <c r="E128" s="2" t="s">
        <v>29</v>
      </c>
      <c r="F128" s="2" t="s">
        <v>19</v>
      </c>
      <c r="G128" s="16">
        <v>156</v>
      </c>
      <c r="H128" s="16">
        <v>2499</v>
      </c>
      <c r="I128" s="16">
        <v>389844</v>
      </c>
      <c r="J128" s="16">
        <v>342836</v>
      </c>
      <c r="K128" s="16">
        <v>4.9000000000000004</v>
      </c>
      <c r="L128" s="16">
        <v>12</v>
      </c>
      <c r="M128" s="17">
        <f>Table4[[#This Row],[Total_Sales_INR]]*0.2</f>
        <v>77968.800000000003</v>
      </c>
      <c r="N128" s="18">
        <v>341087</v>
      </c>
    </row>
    <row r="129" spans="1:14" x14ac:dyDescent="0.3">
      <c r="A129" s="9" t="s">
        <v>236</v>
      </c>
      <c r="B129" s="10" t="s">
        <v>37</v>
      </c>
      <c r="C129" s="10" t="s">
        <v>48</v>
      </c>
      <c r="D129" s="10" t="s">
        <v>24</v>
      </c>
      <c r="E129" s="10" t="s">
        <v>25</v>
      </c>
      <c r="F129" s="10" t="s">
        <v>26</v>
      </c>
      <c r="G129" s="19">
        <v>10</v>
      </c>
      <c r="H129" s="19">
        <v>499</v>
      </c>
      <c r="I129" s="19">
        <v>4990</v>
      </c>
      <c r="J129" s="19">
        <v>5313</v>
      </c>
      <c r="K129" s="19">
        <v>2.9</v>
      </c>
      <c r="L129" s="19">
        <v>0</v>
      </c>
      <c r="M129" s="20">
        <f>Table4[[#This Row],[Total_Sales_INR]]*0.2</f>
        <v>998</v>
      </c>
      <c r="N129" s="18">
        <v>5101</v>
      </c>
    </row>
    <row r="130" spans="1:14" x14ac:dyDescent="0.3">
      <c r="A130" s="8" t="s">
        <v>237</v>
      </c>
      <c r="B130" s="2" t="s">
        <v>142</v>
      </c>
      <c r="C130" s="2" t="s">
        <v>38</v>
      </c>
      <c r="D130" s="2" t="s">
        <v>28</v>
      </c>
      <c r="E130" s="2" t="s">
        <v>18</v>
      </c>
      <c r="F130" s="2" t="s">
        <v>26</v>
      </c>
      <c r="G130" s="16">
        <v>161</v>
      </c>
      <c r="H130" s="16">
        <v>9999</v>
      </c>
      <c r="I130" s="16">
        <v>1609839</v>
      </c>
      <c r="J130" s="16">
        <v>1651633</v>
      </c>
      <c r="K130" s="16">
        <v>12.8</v>
      </c>
      <c r="L130" s="16">
        <v>0</v>
      </c>
      <c r="M130" s="17">
        <f>Table4[[#This Row],[Total_Sales_INR]]*0.2</f>
        <v>321967.80000000005</v>
      </c>
      <c r="N130" s="18">
        <v>1725226</v>
      </c>
    </row>
    <row r="131" spans="1:14" x14ac:dyDescent="0.3">
      <c r="A131" s="9" t="s">
        <v>238</v>
      </c>
      <c r="B131" s="10" t="s">
        <v>142</v>
      </c>
      <c r="C131" s="10" t="s">
        <v>38</v>
      </c>
      <c r="D131" s="10" t="s">
        <v>45</v>
      </c>
      <c r="E131" s="10" t="s">
        <v>25</v>
      </c>
      <c r="F131" s="10" t="s">
        <v>57</v>
      </c>
      <c r="G131" s="19">
        <v>42</v>
      </c>
      <c r="H131" s="19">
        <v>9999</v>
      </c>
      <c r="I131" s="19">
        <v>419958</v>
      </c>
      <c r="J131" s="19">
        <v>366365</v>
      </c>
      <c r="K131" s="19">
        <v>0.5</v>
      </c>
      <c r="L131" s="19">
        <v>3</v>
      </c>
      <c r="M131" s="20">
        <f>Table4[[#This Row],[Total_Sales_INR]]*0.2</f>
        <v>83991.6</v>
      </c>
      <c r="N131" s="18">
        <v>451305</v>
      </c>
    </row>
    <row r="132" spans="1:14" x14ac:dyDescent="0.3">
      <c r="A132" s="8" t="s">
        <v>239</v>
      </c>
      <c r="B132" s="2" t="s">
        <v>126</v>
      </c>
      <c r="C132" s="2" t="s">
        <v>48</v>
      </c>
      <c r="D132" s="2" t="s">
        <v>17</v>
      </c>
      <c r="E132" s="2" t="s">
        <v>18</v>
      </c>
      <c r="F132" s="2" t="s">
        <v>26</v>
      </c>
      <c r="G132" s="16">
        <v>14</v>
      </c>
      <c r="H132" s="16">
        <v>14999</v>
      </c>
      <c r="I132" s="16">
        <v>209986</v>
      </c>
      <c r="J132" s="16">
        <v>201317</v>
      </c>
      <c r="K132" s="16">
        <v>3.2</v>
      </c>
      <c r="L132" s="16">
        <v>0</v>
      </c>
      <c r="M132" s="17">
        <f>Table4[[#This Row],[Total_Sales_INR]]*0.2</f>
        <v>41997.200000000004</v>
      </c>
      <c r="N132" s="18">
        <v>191811</v>
      </c>
    </row>
    <row r="133" spans="1:14" x14ac:dyDescent="0.3">
      <c r="A133" s="9" t="s">
        <v>240</v>
      </c>
      <c r="B133" s="10" t="s">
        <v>142</v>
      </c>
      <c r="C133" s="10" t="s">
        <v>48</v>
      </c>
      <c r="D133" s="10" t="s">
        <v>21</v>
      </c>
      <c r="E133" s="10" t="s">
        <v>29</v>
      </c>
      <c r="F133" s="10" t="s">
        <v>39</v>
      </c>
      <c r="G133" s="19">
        <v>151</v>
      </c>
      <c r="H133" s="19">
        <v>14999</v>
      </c>
      <c r="I133" s="19">
        <v>2264849</v>
      </c>
      <c r="J133" s="19">
        <v>2060473</v>
      </c>
      <c r="K133" s="19">
        <v>12.6</v>
      </c>
      <c r="L133" s="19">
        <v>12</v>
      </c>
      <c r="M133" s="20">
        <f>Table4[[#This Row],[Total_Sales_INR]]*0.2</f>
        <v>452969.80000000005</v>
      </c>
      <c r="N133" s="18">
        <v>1972261</v>
      </c>
    </row>
    <row r="134" spans="1:14" x14ac:dyDescent="0.3">
      <c r="A134" s="8" t="s">
        <v>241</v>
      </c>
      <c r="B134" s="2" t="s">
        <v>142</v>
      </c>
      <c r="C134" s="2" t="s">
        <v>48</v>
      </c>
      <c r="D134" s="2" t="s">
        <v>24</v>
      </c>
      <c r="E134" s="2" t="s">
        <v>18</v>
      </c>
      <c r="F134" s="2" t="s">
        <v>57</v>
      </c>
      <c r="G134" s="16">
        <v>127</v>
      </c>
      <c r="H134" s="16">
        <v>14999</v>
      </c>
      <c r="I134" s="16">
        <v>1904873</v>
      </c>
      <c r="J134" s="16">
        <v>1693875</v>
      </c>
      <c r="K134" s="16">
        <v>14.8</v>
      </c>
      <c r="L134" s="16">
        <v>8</v>
      </c>
      <c r="M134" s="17">
        <f>Table4[[#This Row],[Total_Sales_INR]]*0.2</f>
        <v>380974.60000000003</v>
      </c>
      <c r="N134" s="18">
        <v>1999292</v>
      </c>
    </row>
    <row r="135" spans="1:14" x14ac:dyDescent="0.3">
      <c r="A135" s="9" t="s">
        <v>369</v>
      </c>
      <c r="B135" s="10" t="s">
        <v>142</v>
      </c>
      <c r="C135" s="10" t="s">
        <v>48</v>
      </c>
      <c r="D135" s="10" t="s">
        <v>28</v>
      </c>
      <c r="E135" s="10" t="s">
        <v>29</v>
      </c>
      <c r="F135" s="10" t="s">
        <v>57</v>
      </c>
      <c r="G135" s="19">
        <v>100</v>
      </c>
      <c r="H135" s="19">
        <v>2499</v>
      </c>
      <c r="I135" s="19">
        <v>249900</v>
      </c>
      <c r="J135" s="19">
        <v>286299</v>
      </c>
      <c r="K135" s="19">
        <v>5.8</v>
      </c>
      <c r="L135" s="19">
        <v>8</v>
      </c>
      <c r="M135" s="20">
        <f>Table4[[#This Row],[Total_Sales_INR]]*0.2</f>
        <v>49980</v>
      </c>
      <c r="N135" s="18">
        <v>274193</v>
      </c>
    </row>
    <row r="136" spans="1:14" x14ac:dyDescent="0.3">
      <c r="A136" s="8" t="s">
        <v>243</v>
      </c>
      <c r="B136" s="2" t="s">
        <v>142</v>
      </c>
      <c r="C136" s="2" t="s">
        <v>48</v>
      </c>
      <c r="D136" s="2" t="s">
        <v>45</v>
      </c>
      <c r="E136" s="2" t="s">
        <v>18</v>
      </c>
      <c r="F136" s="2" t="s">
        <v>19</v>
      </c>
      <c r="G136" s="16">
        <v>106</v>
      </c>
      <c r="H136" s="16">
        <v>9999</v>
      </c>
      <c r="I136" s="16">
        <v>1059894</v>
      </c>
      <c r="J136" s="16">
        <v>1141747</v>
      </c>
      <c r="K136" s="16">
        <v>13</v>
      </c>
      <c r="L136" s="16">
        <v>1</v>
      </c>
      <c r="M136" s="17">
        <f>Table4[[#This Row],[Total_Sales_INR]]*0.2</f>
        <v>211978.80000000002</v>
      </c>
      <c r="N136" s="18">
        <v>990730</v>
      </c>
    </row>
    <row r="137" spans="1:14" x14ac:dyDescent="0.3">
      <c r="A137" s="9" t="s">
        <v>244</v>
      </c>
      <c r="B137" s="10" t="s">
        <v>142</v>
      </c>
      <c r="C137" s="10" t="s">
        <v>60</v>
      </c>
      <c r="D137" s="10" t="s">
        <v>17</v>
      </c>
      <c r="E137" s="10" t="s">
        <v>22</v>
      </c>
      <c r="F137" s="10" t="s">
        <v>57</v>
      </c>
      <c r="G137" s="19">
        <v>179</v>
      </c>
      <c r="H137" s="19">
        <v>9999</v>
      </c>
      <c r="I137" s="19">
        <v>1789821</v>
      </c>
      <c r="J137" s="19">
        <v>1597226</v>
      </c>
      <c r="K137" s="19">
        <v>1.8</v>
      </c>
      <c r="L137" s="19">
        <v>3</v>
      </c>
      <c r="M137" s="20">
        <f>Table4[[#This Row],[Total_Sales_INR]]*0.2</f>
        <v>357964.2</v>
      </c>
      <c r="N137" s="18">
        <v>1468060</v>
      </c>
    </row>
    <row r="138" spans="1:14" x14ac:dyDescent="0.3">
      <c r="A138" s="8" t="s">
        <v>245</v>
      </c>
      <c r="B138" s="2" t="s">
        <v>142</v>
      </c>
      <c r="C138" s="2" t="s">
        <v>60</v>
      </c>
      <c r="D138" s="2" t="s">
        <v>21</v>
      </c>
      <c r="E138" s="2" t="s">
        <v>29</v>
      </c>
      <c r="F138" s="2" t="s">
        <v>26</v>
      </c>
      <c r="G138" s="16">
        <v>167</v>
      </c>
      <c r="H138" s="16">
        <v>14999</v>
      </c>
      <c r="I138" s="16">
        <v>2504833</v>
      </c>
      <c r="J138" s="16">
        <v>2239568</v>
      </c>
      <c r="K138" s="16">
        <v>9</v>
      </c>
      <c r="L138" s="16">
        <v>1</v>
      </c>
      <c r="M138" s="17">
        <f>Table4[[#This Row],[Total_Sales_INR]]*0.2</f>
        <v>500966.60000000003</v>
      </c>
      <c r="N138" s="18">
        <v>2180777</v>
      </c>
    </row>
    <row r="139" spans="1:14" x14ac:dyDescent="0.3">
      <c r="A139" s="9" t="s">
        <v>246</v>
      </c>
      <c r="B139" s="10" t="s">
        <v>142</v>
      </c>
      <c r="C139" s="10" t="s">
        <v>60</v>
      </c>
      <c r="D139" s="10" t="s">
        <v>24</v>
      </c>
      <c r="E139" s="10" t="s">
        <v>22</v>
      </c>
      <c r="F139" s="10" t="s">
        <v>61</v>
      </c>
      <c r="G139" s="19">
        <v>197</v>
      </c>
      <c r="H139" s="19">
        <v>2499</v>
      </c>
      <c r="I139" s="19">
        <v>492303</v>
      </c>
      <c r="J139" s="19">
        <v>562036</v>
      </c>
      <c r="K139" s="19">
        <v>10.4</v>
      </c>
      <c r="L139" s="19">
        <v>13</v>
      </c>
      <c r="M139" s="20">
        <f>Table4[[#This Row],[Total_Sales_INR]]*0.2</f>
        <v>98460.6</v>
      </c>
      <c r="N139" s="18">
        <v>435237</v>
      </c>
    </row>
    <row r="140" spans="1:14" x14ac:dyDescent="0.3">
      <c r="A140" s="8" t="s">
        <v>247</v>
      </c>
      <c r="B140" s="2" t="s">
        <v>142</v>
      </c>
      <c r="C140" s="2" t="s">
        <v>60</v>
      </c>
      <c r="D140" s="2" t="s">
        <v>28</v>
      </c>
      <c r="E140" s="2" t="s">
        <v>29</v>
      </c>
      <c r="F140" s="2" t="s">
        <v>61</v>
      </c>
      <c r="G140" s="16">
        <v>106</v>
      </c>
      <c r="H140" s="16">
        <v>4999</v>
      </c>
      <c r="I140" s="16">
        <v>529894</v>
      </c>
      <c r="J140" s="16">
        <v>626530</v>
      </c>
      <c r="K140" s="16">
        <v>14.2</v>
      </c>
      <c r="L140" s="16">
        <v>1</v>
      </c>
      <c r="M140" s="17">
        <f>Table4[[#This Row],[Total_Sales_INR]]*0.2</f>
        <v>105978.8</v>
      </c>
      <c r="N140" s="18">
        <v>486765</v>
      </c>
    </row>
    <row r="141" spans="1:14" x14ac:dyDescent="0.3">
      <c r="A141" s="9" t="s">
        <v>248</v>
      </c>
      <c r="B141" s="10" t="s">
        <v>142</v>
      </c>
      <c r="C141" s="10" t="s">
        <v>60</v>
      </c>
      <c r="D141" s="10" t="s">
        <v>45</v>
      </c>
      <c r="E141" s="10" t="s">
        <v>18</v>
      </c>
      <c r="F141" s="10" t="s">
        <v>61</v>
      </c>
      <c r="G141" s="19">
        <v>49</v>
      </c>
      <c r="H141" s="19">
        <v>14999</v>
      </c>
      <c r="I141" s="19">
        <v>734951</v>
      </c>
      <c r="J141" s="19">
        <v>782146</v>
      </c>
      <c r="K141" s="19">
        <v>11.1</v>
      </c>
      <c r="L141" s="19">
        <v>1</v>
      </c>
      <c r="M141" s="20">
        <f>Table4[[#This Row],[Total_Sales_INR]]*0.2</f>
        <v>146990.20000000001</v>
      </c>
      <c r="N141" s="18">
        <v>721328</v>
      </c>
    </row>
    <row r="142" spans="1:14" x14ac:dyDescent="0.3">
      <c r="A142" s="8" t="s">
        <v>249</v>
      </c>
      <c r="B142" s="2" t="s">
        <v>51</v>
      </c>
      <c r="C142" s="2" t="s">
        <v>16</v>
      </c>
      <c r="D142" s="2" t="s">
        <v>17</v>
      </c>
      <c r="E142" s="2" t="s">
        <v>29</v>
      </c>
      <c r="F142" s="2" t="s">
        <v>39</v>
      </c>
      <c r="G142" s="16">
        <v>21</v>
      </c>
      <c r="H142" s="16">
        <v>14999</v>
      </c>
      <c r="I142" s="16">
        <v>314979</v>
      </c>
      <c r="J142" s="16">
        <v>329457</v>
      </c>
      <c r="K142" s="16">
        <v>6.6</v>
      </c>
      <c r="L142" s="16">
        <v>0</v>
      </c>
      <c r="M142" s="17">
        <f>Table4[[#This Row],[Total_Sales_INR]]*0.2</f>
        <v>62995.8</v>
      </c>
      <c r="N142" s="18">
        <v>337925</v>
      </c>
    </row>
    <row r="143" spans="1:14" x14ac:dyDescent="0.3">
      <c r="A143" s="9" t="s">
        <v>250</v>
      </c>
      <c r="B143" s="10" t="s">
        <v>51</v>
      </c>
      <c r="C143" s="10" t="s">
        <v>16</v>
      </c>
      <c r="D143" s="10" t="s">
        <v>21</v>
      </c>
      <c r="E143" s="10" t="s">
        <v>25</v>
      </c>
      <c r="F143" s="10" t="s">
        <v>19</v>
      </c>
      <c r="G143" s="19">
        <v>157</v>
      </c>
      <c r="H143" s="19">
        <v>1499</v>
      </c>
      <c r="I143" s="19">
        <v>235343</v>
      </c>
      <c r="J143" s="19">
        <v>225911</v>
      </c>
      <c r="K143" s="19">
        <v>11</v>
      </c>
      <c r="L143" s="19">
        <v>1</v>
      </c>
      <c r="M143" s="20">
        <f>Table4[[#This Row],[Total_Sales_INR]]*0.2</f>
        <v>47068.600000000006</v>
      </c>
      <c r="N143" s="18">
        <v>199285</v>
      </c>
    </row>
    <row r="144" spans="1:14" x14ac:dyDescent="0.3">
      <c r="A144" s="8" t="s">
        <v>370</v>
      </c>
      <c r="B144" s="2" t="s">
        <v>51</v>
      </c>
      <c r="C144" s="2" t="s">
        <v>16</v>
      </c>
      <c r="D144" s="2" t="s">
        <v>24</v>
      </c>
      <c r="E144" s="2" t="s">
        <v>22</v>
      </c>
      <c r="F144" s="2" t="s">
        <v>26</v>
      </c>
      <c r="G144" s="16">
        <v>140</v>
      </c>
      <c r="H144" s="16">
        <v>1499</v>
      </c>
      <c r="I144" s="16">
        <v>209860</v>
      </c>
      <c r="J144" s="16">
        <v>211276</v>
      </c>
      <c r="K144" s="16">
        <v>14.4</v>
      </c>
      <c r="L144" s="16">
        <v>4</v>
      </c>
      <c r="M144" s="17">
        <f>Table4[[#This Row],[Total_Sales_INR]]*0.2</f>
        <v>41972</v>
      </c>
      <c r="N144" s="18">
        <v>168529</v>
      </c>
    </row>
    <row r="145" spans="1:14" x14ac:dyDescent="0.3">
      <c r="A145" s="9" t="s">
        <v>252</v>
      </c>
      <c r="B145" s="10" t="s">
        <v>142</v>
      </c>
      <c r="C145" s="10" t="s">
        <v>16</v>
      </c>
      <c r="D145" s="10" t="s">
        <v>28</v>
      </c>
      <c r="E145" s="10" t="s">
        <v>18</v>
      </c>
      <c r="F145" s="10" t="s">
        <v>57</v>
      </c>
      <c r="G145" s="19">
        <v>19</v>
      </c>
      <c r="H145" s="19">
        <v>499</v>
      </c>
      <c r="I145" s="19">
        <v>9481</v>
      </c>
      <c r="J145" s="19">
        <v>11262</v>
      </c>
      <c r="K145" s="19">
        <v>12.4</v>
      </c>
      <c r="L145" s="19">
        <v>1</v>
      </c>
      <c r="M145" s="20">
        <f>Table4[[#This Row],[Total_Sales_INR]]*0.2</f>
        <v>1896.2</v>
      </c>
      <c r="N145" s="18">
        <v>8213</v>
      </c>
    </row>
    <row r="146" spans="1:14" x14ac:dyDescent="0.3">
      <c r="A146" s="8" t="s">
        <v>254</v>
      </c>
      <c r="B146" s="2" t="s">
        <v>51</v>
      </c>
      <c r="C146" s="2" t="s">
        <v>16</v>
      </c>
      <c r="D146" s="2" t="s">
        <v>45</v>
      </c>
      <c r="E146" s="2" t="s">
        <v>29</v>
      </c>
      <c r="F146" s="2" t="s">
        <v>61</v>
      </c>
      <c r="G146" s="16">
        <v>160</v>
      </c>
      <c r="H146" s="16">
        <v>24999</v>
      </c>
      <c r="I146" s="16">
        <v>3999840</v>
      </c>
      <c r="J146" s="16">
        <v>3995816</v>
      </c>
      <c r="K146" s="16">
        <v>1.6</v>
      </c>
      <c r="L146" s="16">
        <v>8</v>
      </c>
      <c r="M146" s="17">
        <f>Table4[[#This Row],[Total_Sales_INR]]*0.2</f>
        <v>799968</v>
      </c>
      <c r="N146" s="18">
        <v>3695375</v>
      </c>
    </row>
    <row r="147" spans="1:14" x14ac:dyDescent="0.3">
      <c r="A147" s="9" t="s">
        <v>255</v>
      </c>
      <c r="B147" s="10" t="s">
        <v>51</v>
      </c>
      <c r="C147" s="10" t="s">
        <v>38</v>
      </c>
      <c r="D147" s="10" t="s">
        <v>17</v>
      </c>
      <c r="E147" s="10" t="s">
        <v>29</v>
      </c>
      <c r="F147" s="10" t="s">
        <v>26</v>
      </c>
      <c r="G147" s="19">
        <v>174</v>
      </c>
      <c r="H147" s="19">
        <v>9999</v>
      </c>
      <c r="I147" s="19">
        <v>1739826</v>
      </c>
      <c r="J147" s="19">
        <v>1694521</v>
      </c>
      <c r="K147" s="19">
        <v>1.3</v>
      </c>
      <c r="L147" s="19">
        <v>0</v>
      </c>
      <c r="M147" s="20">
        <f>Table4[[#This Row],[Total_Sales_INR]]*0.2</f>
        <v>347965.2</v>
      </c>
      <c r="N147" s="18">
        <v>1703749</v>
      </c>
    </row>
    <row r="148" spans="1:14" x14ac:dyDescent="0.3">
      <c r="A148" s="8" t="s">
        <v>371</v>
      </c>
      <c r="B148" s="2" t="s">
        <v>51</v>
      </c>
      <c r="C148" s="2" t="s">
        <v>38</v>
      </c>
      <c r="D148" s="2" t="s">
        <v>21</v>
      </c>
      <c r="E148" s="2" t="s">
        <v>22</v>
      </c>
      <c r="F148" s="2" t="s">
        <v>61</v>
      </c>
      <c r="G148" s="16">
        <v>95</v>
      </c>
      <c r="H148" s="16">
        <v>14999</v>
      </c>
      <c r="I148" s="16">
        <v>1424905</v>
      </c>
      <c r="J148" s="16">
        <v>1613209</v>
      </c>
      <c r="K148" s="16">
        <v>14.1</v>
      </c>
      <c r="L148" s="16">
        <v>7</v>
      </c>
      <c r="M148" s="17">
        <f>Table4[[#This Row],[Total_Sales_INR]]*0.2</f>
        <v>284981</v>
      </c>
      <c r="N148" s="18">
        <v>1323447</v>
      </c>
    </row>
    <row r="149" spans="1:14" x14ac:dyDescent="0.3">
      <c r="A149" s="9" t="s">
        <v>257</v>
      </c>
      <c r="B149" s="10" t="s">
        <v>51</v>
      </c>
      <c r="C149" s="10" t="s">
        <v>38</v>
      </c>
      <c r="D149" s="10" t="s">
        <v>24</v>
      </c>
      <c r="E149" s="10" t="s">
        <v>18</v>
      </c>
      <c r="F149" s="10" t="s">
        <v>57</v>
      </c>
      <c r="G149" s="19">
        <v>88</v>
      </c>
      <c r="H149" s="19">
        <v>9999</v>
      </c>
      <c r="I149" s="19">
        <v>879912</v>
      </c>
      <c r="J149" s="19">
        <v>959548</v>
      </c>
      <c r="K149" s="19">
        <v>1.1000000000000001</v>
      </c>
      <c r="L149" s="19">
        <v>3</v>
      </c>
      <c r="M149" s="20">
        <f>Table4[[#This Row],[Total_Sales_INR]]*0.2</f>
        <v>175982.40000000002</v>
      </c>
      <c r="N149" s="18">
        <v>879340</v>
      </c>
    </row>
    <row r="150" spans="1:14" x14ac:dyDescent="0.3">
      <c r="A150" s="8" t="s">
        <v>258</v>
      </c>
      <c r="B150" s="2" t="s">
        <v>92</v>
      </c>
      <c r="C150" s="2" t="s">
        <v>48</v>
      </c>
      <c r="D150" s="2" t="s">
        <v>21</v>
      </c>
      <c r="E150" s="2" t="s">
        <v>46</v>
      </c>
      <c r="F150" s="2" t="s">
        <v>57</v>
      </c>
      <c r="G150" s="16">
        <v>130</v>
      </c>
      <c r="H150" s="16">
        <v>2499</v>
      </c>
      <c r="I150" s="16">
        <v>324870</v>
      </c>
      <c r="J150" s="16">
        <v>336645</v>
      </c>
      <c r="K150" s="16">
        <v>9.4</v>
      </c>
      <c r="L150" s="16">
        <v>3</v>
      </c>
      <c r="M150" s="17">
        <f>Table4[[#This Row],[Total_Sales_INR]]*0.2</f>
        <v>64974</v>
      </c>
      <c r="N150" s="18">
        <v>350356</v>
      </c>
    </row>
    <row r="151" spans="1:14" x14ac:dyDescent="0.3">
      <c r="A151" s="9" t="s">
        <v>260</v>
      </c>
      <c r="B151" s="10" t="s">
        <v>51</v>
      </c>
      <c r="C151" s="10" t="s">
        <v>38</v>
      </c>
      <c r="D151" s="10" t="s">
        <v>45</v>
      </c>
      <c r="E151" s="10" t="s">
        <v>29</v>
      </c>
      <c r="F151" s="10" t="s">
        <v>19</v>
      </c>
      <c r="G151" s="19">
        <v>19</v>
      </c>
      <c r="H151" s="19">
        <v>499</v>
      </c>
      <c r="I151" s="19">
        <v>9481</v>
      </c>
      <c r="J151" s="19">
        <v>8463</v>
      </c>
      <c r="K151" s="19">
        <v>9.5</v>
      </c>
      <c r="L151" s="19">
        <v>1</v>
      </c>
      <c r="M151" s="20">
        <f>Table4[[#This Row],[Total_Sales_INR]]*0.2</f>
        <v>1896.2</v>
      </c>
      <c r="N151" s="18">
        <v>10084</v>
      </c>
    </row>
    <row r="152" spans="1:14" x14ac:dyDescent="0.3">
      <c r="A152" s="8" t="s">
        <v>261</v>
      </c>
      <c r="B152" s="2" t="s">
        <v>41</v>
      </c>
      <c r="C152" s="2" t="s">
        <v>48</v>
      </c>
      <c r="D152" s="2" t="s">
        <v>17</v>
      </c>
      <c r="E152" s="2" t="s">
        <v>46</v>
      </c>
      <c r="F152" s="2" t="s">
        <v>19</v>
      </c>
      <c r="G152" s="16">
        <v>200</v>
      </c>
      <c r="H152" s="16">
        <v>24999</v>
      </c>
      <c r="I152" s="16">
        <v>4999800</v>
      </c>
      <c r="J152" s="16">
        <v>4301993</v>
      </c>
      <c r="K152" s="16">
        <v>2</v>
      </c>
      <c r="L152" s="16">
        <v>10</v>
      </c>
      <c r="M152" s="17">
        <f>Table4[[#This Row],[Total_Sales_INR]]*0.2</f>
        <v>999960</v>
      </c>
      <c r="N152" s="18">
        <v>5370706</v>
      </c>
    </row>
    <row r="153" spans="1:14" x14ac:dyDescent="0.3">
      <c r="A153" s="9" t="s">
        <v>262</v>
      </c>
      <c r="B153" s="10" t="s">
        <v>51</v>
      </c>
      <c r="C153" s="10" t="s">
        <v>48</v>
      </c>
      <c r="D153" s="10" t="s">
        <v>21</v>
      </c>
      <c r="E153" s="10" t="s">
        <v>22</v>
      </c>
      <c r="F153" s="10" t="s">
        <v>57</v>
      </c>
      <c r="G153" s="19">
        <v>36</v>
      </c>
      <c r="H153" s="19">
        <v>999</v>
      </c>
      <c r="I153" s="19">
        <v>35964</v>
      </c>
      <c r="J153" s="19">
        <v>32289</v>
      </c>
      <c r="K153" s="19">
        <v>5.5</v>
      </c>
      <c r="L153" s="19">
        <v>1</v>
      </c>
      <c r="M153" s="20">
        <f>Table4[[#This Row],[Total_Sales_INR]]*0.2</f>
        <v>7192.8</v>
      </c>
      <c r="N153" s="18">
        <v>30310</v>
      </c>
    </row>
    <row r="154" spans="1:14" x14ac:dyDescent="0.3">
      <c r="A154" s="8" t="s">
        <v>263</v>
      </c>
      <c r="B154" s="2" t="s">
        <v>72</v>
      </c>
      <c r="C154" s="2" t="s">
        <v>38</v>
      </c>
      <c r="D154" s="2" t="s">
        <v>45</v>
      </c>
      <c r="E154" s="2" t="s">
        <v>25</v>
      </c>
      <c r="F154" s="2" t="s">
        <v>57</v>
      </c>
      <c r="G154" s="16">
        <v>140</v>
      </c>
      <c r="H154" s="16">
        <v>2499</v>
      </c>
      <c r="I154" s="16">
        <v>349860</v>
      </c>
      <c r="J154" s="16">
        <v>326677</v>
      </c>
      <c r="K154" s="16">
        <v>4.5999999999999996</v>
      </c>
      <c r="L154" s="16">
        <v>7</v>
      </c>
      <c r="M154" s="17">
        <f>Table4[[#This Row],[Total_Sales_INR]]*0.2</f>
        <v>69972</v>
      </c>
      <c r="N154" s="18">
        <v>358302</v>
      </c>
    </row>
    <row r="155" spans="1:14" x14ac:dyDescent="0.3">
      <c r="A155" s="9" t="s">
        <v>266</v>
      </c>
      <c r="B155" s="10" t="s">
        <v>51</v>
      </c>
      <c r="C155" s="10" t="s">
        <v>48</v>
      </c>
      <c r="D155" s="10" t="s">
        <v>28</v>
      </c>
      <c r="E155" s="10" t="s">
        <v>22</v>
      </c>
      <c r="F155" s="10" t="s">
        <v>19</v>
      </c>
      <c r="G155" s="19">
        <v>22</v>
      </c>
      <c r="H155" s="19">
        <v>9999</v>
      </c>
      <c r="I155" s="19">
        <v>219978</v>
      </c>
      <c r="J155" s="19">
        <v>190057</v>
      </c>
      <c r="K155" s="19">
        <v>7.1</v>
      </c>
      <c r="L155" s="19">
        <v>1</v>
      </c>
      <c r="M155" s="20">
        <f>Table4[[#This Row],[Total_Sales_INR]]*0.2</f>
        <v>43995.600000000006</v>
      </c>
      <c r="N155" s="18">
        <v>235825</v>
      </c>
    </row>
    <row r="156" spans="1:14" x14ac:dyDescent="0.3">
      <c r="A156" s="8" t="s">
        <v>267</v>
      </c>
      <c r="B156" s="2" t="s">
        <v>183</v>
      </c>
      <c r="C156" s="2" t="s">
        <v>38</v>
      </c>
      <c r="D156" s="2" t="s">
        <v>28</v>
      </c>
      <c r="E156" s="2" t="s">
        <v>46</v>
      </c>
      <c r="F156" s="2" t="s">
        <v>57</v>
      </c>
      <c r="G156" s="16">
        <v>56</v>
      </c>
      <c r="H156" s="16">
        <v>1499</v>
      </c>
      <c r="I156" s="16">
        <v>83944</v>
      </c>
      <c r="J156" s="16">
        <v>84524</v>
      </c>
      <c r="K156" s="16">
        <v>2.5</v>
      </c>
      <c r="L156" s="16">
        <v>4</v>
      </c>
      <c r="M156" s="17">
        <f>Table4[[#This Row],[Total_Sales_INR]]*0.2</f>
        <v>16788.8</v>
      </c>
      <c r="N156" s="18">
        <v>91370</v>
      </c>
    </row>
    <row r="157" spans="1:14" x14ac:dyDescent="0.3">
      <c r="A157" s="9" t="s">
        <v>268</v>
      </c>
      <c r="B157" s="10" t="s">
        <v>51</v>
      </c>
      <c r="C157" s="10" t="s">
        <v>60</v>
      </c>
      <c r="D157" s="10" t="s">
        <v>17</v>
      </c>
      <c r="E157" s="10" t="s">
        <v>29</v>
      </c>
      <c r="F157" s="10" t="s">
        <v>19</v>
      </c>
      <c r="G157" s="19">
        <v>57</v>
      </c>
      <c r="H157" s="19">
        <v>24999</v>
      </c>
      <c r="I157" s="19">
        <v>1424943</v>
      </c>
      <c r="J157" s="19">
        <v>1578535</v>
      </c>
      <c r="K157" s="19">
        <v>13</v>
      </c>
      <c r="L157" s="19">
        <v>4</v>
      </c>
      <c r="M157" s="20">
        <f>Table4[[#This Row],[Total_Sales_INR]]*0.2</f>
        <v>284988.60000000003</v>
      </c>
      <c r="N157" s="18">
        <v>1386112</v>
      </c>
    </row>
    <row r="158" spans="1:14" x14ac:dyDescent="0.3">
      <c r="A158" s="8" t="s">
        <v>269</v>
      </c>
      <c r="B158" s="2" t="s">
        <v>51</v>
      </c>
      <c r="C158" s="2" t="s">
        <v>60</v>
      </c>
      <c r="D158" s="2" t="s">
        <v>21</v>
      </c>
      <c r="E158" s="2" t="s">
        <v>25</v>
      </c>
      <c r="F158" s="2" t="s">
        <v>61</v>
      </c>
      <c r="G158" s="16">
        <v>39</v>
      </c>
      <c r="H158" s="16">
        <v>2499</v>
      </c>
      <c r="I158" s="16">
        <v>97461</v>
      </c>
      <c r="J158" s="16">
        <v>94582</v>
      </c>
      <c r="K158" s="16">
        <v>2.2000000000000002</v>
      </c>
      <c r="L158" s="16">
        <v>1</v>
      </c>
      <c r="M158" s="17">
        <f>Table4[[#This Row],[Total_Sales_INR]]*0.2</f>
        <v>19492.2</v>
      </c>
      <c r="N158" s="18">
        <v>79893</v>
      </c>
    </row>
    <row r="159" spans="1:14" x14ac:dyDescent="0.3">
      <c r="A159" s="9" t="s">
        <v>270</v>
      </c>
      <c r="B159" s="10" t="s">
        <v>37</v>
      </c>
      <c r="C159" s="10" t="s">
        <v>16</v>
      </c>
      <c r="D159" s="10" t="s">
        <v>21</v>
      </c>
      <c r="E159" s="10" t="s">
        <v>22</v>
      </c>
      <c r="F159" s="10" t="s">
        <v>57</v>
      </c>
      <c r="G159" s="19">
        <v>194</v>
      </c>
      <c r="H159" s="19">
        <v>2499</v>
      </c>
      <c r="I159" s="19">
        <v>484806</v>
      </c>
      <c r="J159" s="19">
        <v>479722</v>
      </c>
      <c r="K159" s="19">
        <v>15</v>
      </c>
      <c r="L159" s="19">
        <v>2</v>
      </c>
      <c r="M159" s="20">
        <f>Table4[[#This Row],[Total_Sales_INR]]*0.2</f>
        <v>96961.200000000012</v>
      </c>
      <c r="N159" s="18">
        <v>392742</v>
      </c>
    </row>
    <row r="160" spans="1:14" x14ac:dyDescent="0.3">
      <c r="A160" s="8" t="s">
        <v>272</v>
      </c>
      <c r="B160" s="2" t="s">
        <v>51</v>
      </c>
      <c r="C160" s="2" t="s">
        <v>60</v>
      </c>
      <c r="D160" s="2" t="s">
        <v>28</v>
      </c>
      <c r="E160" s="2" t="s">
        <v>29</v>
      </c>
      <c r="F160" s="2" t="s">
        <v>39</v>
      </c>
      <c r="G160" s="16">
        <v>77</v>
      </c>
      <c r="H160" s="16">
        <v>9999</v>
      </c>
      <c r="I160" s="16">
        <v>769923</v>
      </c>
      <c r="J160" s="16">
        <v>894513</v>
      </c>
      <c r="K160" s="16">
        <v>7.1</v>
      </c>
      <c r="L160" s="16">
        <v>6</v>
      </c>
      <c r="M160" s="17">
        <f>Table4[[#This Row],[Total_Sales_INR]]*0.2</f>
        <v>153984.6</v>
      </c>
      <c r="N160" s="18">
        <v>699508</v>
      </c>
    </row>
    <row r="161" spans="1:14" x14ac:dyDescent="0.3">
      <c r="A161" s="9" t="s">
        <v>273</v>
      </c>
      <c r="B161" s="10" t="s">
        <v>41</v>
      </c>
      <c r="C161" s="10" t="s">
        <v>38</v>
      </c>
      <c r="D161" s="10" t="s">
        <v>17</v>
      </c>
      <c r="E161" s="10" t="s">
        <v>22</v>
      </c>
      <c r="F161" s="10" t="s">
        <v>26</v>
      </c>
      <c r="G161" s="19">
        <v>31</v>
      </c>
      <c r="H161" s="19">
        <v>4999</v>
      </c>
      <c r="I161" s="19">
        <v>154969</v>
      </c>
      <c r="J161" s="19">
        <v>156988</v>
      </c>
      <c r="K161" s="19">
        <v>6.4</v>
      </c>
      <c r="L161" s="19">
        <v>1</v>
      </c>
      <c r="M161" s="20">
        <f>Table4[[#This Row],[Total_Sales_INR]]*0.2</f>
        <v>30993.800000000003</v>
      </c>
      <c r="N161" s="18">
        <v>154522</v>
      </c>
    </row>
    <row r="162" spans="1:14" x14ac:dyDescent="0.3">
      <c r="A162" s="8" t="s">
        <v>274</v>
      </c>
      <c r="B162" s="2" t="s">
        <v>15</v>
      </c>
      <c r="C162" s="2" t="s">
        <v>48</v>
      </c>
      <c r="D162" s="2" t="s">
        <v>17</v>
      </c>
      <c r="E162" s="2" t="s">
        <v>22</v>
      </c>
      <c r="F162" s="2" t="s">
        <v>19</v>
      </c>
      <c r="G162" s="16">
        <v>45</v>
      </c>
      <c r="H162" s="16">
        <v>9999</v>
      </c>
      <c r="I162" s="16">
        <v>449955</v>
      </c>
      <c r="J162" s="16">
        <v>393273</v>
      </c>
      <c r="K162" s="16">
        <v>3.9</v>
      </c>
      <c r="L162" s="16">
        <v>3</v>
      </c>
      <c r="M162" s="17">
        <f>Table4[[#This Row],[Total_Sales_INR]]*0.2</f>
        <v>89991</v>
      </c>
      <c r="N162" s="18">
        <v>467055</v>
      </c>
    </row>
    <row r="163" spans="1:14" x14ac:dyDescent="0.3">
      <c r="A163" s="9" t="s">
        <v>372</v>
      </c>
      <c r="B163" s="10" t="s">
        <v>37</v>
      </c>
      <c r="C163" s="10" t="s">
        <v>16</v>
      </c>
      <c r="D163" s="10" t="s">
        <v>21</v>
      </c>
      <c r="E163" s="10" t="s">
        <v>18</v>
      </c>
      <c r="F163" s="10" t="s">
        <v>57</v>
      </c>
      <c r="G163" s="19">
        <v>172</v>
      </c>
      <c r="H163" s="19">
        <v>24999</v>
      </c>
      <c r="I163" s="19">
        <v>4299828</v>
      </c>
      <c r="J163" s="19">
        <v>4572662</v>
      </c>
      <c r="K163" s="19">
        <v>1.8</v>
      </c>
      <c r="L163" s="19">
        <v>11</v>
      </c>
      <c r="M163" s="20">
        <f>Table4[[#This Row],[Total_Sales_INR]]*0.2</f>
        <v>859965.60000000009</v>
      </c>
      <c r="N163" s="18">
        <v>3609046</v>
      </c>
    </row>
    <row r="164" spans="1:14" x14ac:dyDescent="0.3">
      <c r="A164" s="8" t="s">
        <v>277</v>
      </c>
      <c r="B164" s="2" t="s">
        <v>37</v>
      </c>
      <c r="C164" s="2" t="s">
        <v>16</v>
      </c>
      <c r="D164" s="2" t="s">
        <v>24</v>
      </c>
      <c r="E164" s="2" t="s">
        <v>22</v>
      </c>
      <c r="F164" s="2" t="s">
        <v>26</v>
      </c>
      <c r="G164" s="16">
        <v>64</v>
      </c>
      <c r="H164" s="16">
        <v>499</v>
      </c>
      <c r="I164" s="16">
        <v>31936</v>
      </c>
      <c r="J164" s="16">
        <v>29978</v>
      </c>
      <c r="K164" s="16">
        <v>3.5</v>
      </c>
      <c r="L164" s="16">
        <v>5</v>
      </c>
      <c r="M164" s="17">
        <f>Table4[[#This Row],[Total_Sales_INR]]*0.2</f>
        <v>6387.2000000000007</v>
      </c>
      <c r="N164" s="18">
        <v>35685</v>
      </c>
    </row>
    <row r="165" spans="1:14" x14ac:dyDescent="0.3">
      <c r="A165" s="9" t="s">
        <v>278</v>
      </c>
      <c r="B165" s="10" t="s">
        <v>51</v>
      </c>
      <c r="C165" s="10" t="s">
        <v>16</v>
      </c>
      <c r="D165" s="10" t="s">
        <v>28</v>
      </c>
      <c r="E165" s="10" t="s">
        <v>18</v>
      </c>
      <c r="F165" s="10" t="s">
        <v>19</v>
      </c>
      <c r="G165" s="19">
        <v>66</v>
      </c>
      <c r="H165" s="19">
        <v>4999</v>
      </c>
      <c r="I165" s="19">
        <v>329934</v>
      </c>
      <c r="J165" s="19">
        <v>387482</v>
      </c>
      <c r="K165" s="19">
        <v>11.4</v>
      </c>
      <c r="L165" s="19">
        <v>2</v>
      </c>
      <c r="M165" s="20">
        <f>Table4[[#This Row],[Total_Sales_INR]]*0.2</f>
        <v>65986.8</v>
      </c>
      <c r="N165" s="18">
        <v>283516</v>
      </c>
    </row>
    <row r="166" spans="1:14" x14ac:dyDescent="0.3">
      <c r="A166" s="8" t="s">
        <v>373</v>
      </c>
      <c r="B166" s="2" t="s">
        <v>105</v>
      </c>
      <c r="C166" s="2" t="s">
        <v>48</v>
      </c>
      <c r="D166" s="2" t="s">
        <v>45</v>
      </c>
      <c r="E166" s="2" t="s">
        <v>18</v>
      </c>
      <c r="F166" s="2" t="s">
        <v>19</v>
      </c>
      <c r="G166" s="16">
        <v>143</v>
      </c>
      <c r="H166" s="16">
        <v>999</v>
      </c>
      <c r="I166" s="16">
        <v>142857</v>
      </c>
      <c r="J166" s="16">
        <v>150682</v>
      </c>
      <c r="K166" s="16">
        <v>5.9</v>
      </c>
      <c r="L166" s="16">
        <v>8</v>
      </c>
      <c r="M166" s="17">
        <f>Table4[[#This Row],[Total_Sales_INR]]*0.2</f>
        <v>28571.4</v>
      </c>
      <c r="N166" s="18">
        <v>162146</v>
      </c>
    </row>
    <row r="167" spans="1:14" x14ac:dyDescent="0.3">
      <c r="A167" s="9" t="s">
        <v>282</v>
      </c>
      <c r="B167" s="10" t="s">
        <v>142</v>
      </c>
      <c r="C167" s="10" t="s">
        <v>60</v>
      </c>
      <c r="D167" s="10" t="s">
        <v>45</v>
      </c>
      <c r="E167" s="10" t="s">
        <v>29</v>
      </c>
      <c r="F167" s="10" t="s">
        <v>26</v>
      </c>
      <c r="G167" s="19">
        <v>53</v>
      </c>
      <c r="H167" s="19">
        <v>14999</v>
      </c>
      <c r="I167" s="19">
        <v>794947</v>
      </c>
      <c r="J167" s="19">
        <v>872693</v>
      </c>
      <c r="K167" s="19">
        <v>12.2</v>
      </c>
      <c r="L167" s="19">
        <v>2</v>
      </c>
      <c r="M167" s="20">
        <f>Table4[[#This Row],[Total_Sales_INR]]*0.2</f>
        <v>158989.40000000002</v>
      </c>
      <c r="N167" s="18">
        <v>885849</v>
      </c>
    </row>
    <row r="168" spans="1:14" x14ac:dyDescent="0.3">
      <c r="A168" s="8" t="s">
        <v>283</v>
      </c>
      <c r="B168" s="2" t="s">
        <v>37</v>
      </c>
      <c r="C168" s="2" t="s">
        <v>38</v>
      </c>
      <c r="D168" s="2" t="s">
        <v>21</v>
      </c>
      <c r="E168" s="2" t="s">
        <v>22</v>
      </c>
      <c r="F168" s="2" t="s">
        <v>39</v>
      </c>
      <c r="G168" s="16">
        <v>66</v>
      </c>
      <c r="H168" s="16">
        <v>9999</v>
      </c>
      <c r="I168" s="16">
        <v>659934</v>
      </c>
      <c r="J168" s="16">
        <v>584301</v>
      </c>
      <c r="K168" s="16">
        <v>13.6</v>
      </c>
      <c r="L168" s="16">
        <v>5</v>
      </c>
      <c r="M168" s="17">
        <f>Table4[[#This Row],[Total_Sales_INR]]*0.2</f>
        <v>131986.80000000002</v>
      </c>
      <c r="N168" s="18">
        <v>702721</v>
      </c>
    </row>
    <row r="169" spans="1:14" x14ac:dyDescent="0.3">
      <c r="A169" s="9" t="s">
        <v>374</v>
      </c>
      <c r="B169" s="10" t="s">
        <v>79</v>
      </c>
      <c r="C169" s="10" t="s">
        <v>60</v>
      </c>
      <c r="D169" s="10" t="s">
        <v>17</v>
      </c>
      <c r="E169" s="10" t="s">
        <v>22</v>
      </c>
      <c r="F169" s="10" t="s">
        <v>19</v>
      </c>
      <c r="G169" s="19">
        <v>93</v>
      </c>
      <c r="H169" s="19">
        <v>14999</v>
      </c>
      <c r="I169" s="19">
        <v>1394907</v>
      </c>
      <c r="J169" s="19">
        <v>1266370</v>
      </c>
      <c r="K169" s="19">
        <v>8.9</v>
      </c>
      <c r="L169" s="19">
        <v>3</v>
      </c>
      <c r="M169" s="20">
        <f>Table4[[#This Row],[Total_Sales_INR]]*0.2</f>
        <v>278981.40000000002</v>
      </c>
      <c r="N169" s="18">
        <v>1375676</v>
      </c>
    </row>
    <row r="170" spans="1:14" x14ac:dyDescent="0.3">
      <c r="A170" s="8" t="s">
        <v>285</v>
      </c>
      <c r="B170" s="2" t="s">
        <v>37</v>
      </c>
      <c r="C170" s="2" t="s">
        <v>38</v>
      </c>
      <c r="D170" s="2" t="s">
        <v>28</v>
      </c>
      <c r="E170" s="2" t="s">
        <v>18</v>
      </c>
      <c r="F170" s="2" t="s">
        <v>19</v>
      </c>
      <c r="G170" s="16">
        <v>195</v>
      </c>
      <c r="H170" s="16">
        <v>1499</v>
      </c>
      <c r="I170" s="16">
        <v>292305</v>
      </c>
      <c r="J170" s="16">
        <v>262622</v>
      </c>
      <c r="K170" s="16">
        <v>10.3</v>
      </c>
      <c r="L170" s="16">
        <v>5</v>
      </c>
      <c r="M170" s="17">
        <f>Table4[[#This Row],[Total_Sales_INR]]*0.2</f>
        <v>58461</v>
      </c>
      <c r="N170" s="18">
        <v>323467</v>
      </c>
    </row>
    <row r="171" spans="1:14" x14ac:dyDescent="0.3">
      <c r="A171" s="9" t="s">
        <v>286</v>
      </c>
      <c r="B171" s="10" t="s">
        <v>37</v>
      </c>
      <c r="C171" s="10" t="s">
        <v>38</v>
      </c>
      <c r="D171" s="10" t="s">
        <v>45</v>
      </c>
      <c r="E171" s="10" t="s">
        <v>22</v>
      </c>
      <c r="F171" s="10" t="s">
        <v>61</v>
      </c>
      <c r="G171" s="19">
        <v>42</v>
      </c>
      <c r="H171" s="19">
        <v>14999</v>
      </c>
      <c r="I171" s="19">
        <v>629958</v>
      </c>
      <c r="J171" s="19">
        <v>725940</v>
      </c>
      <c r="K171" s="19">
        <v>0.2</v>
      </c>
      <c r="L171" s="19">
        <v>0</v>
      </c>
      <c r="M171" s="20">
        <f>Table4[[#This Row],[Total_Sales_INR]]*0.2</f>
        <v>125991.6</v>
      </c>
      <c r="N171" s="18">
        <v>594683</v>
      </c>
    </row>
    <row r="172" spans="1:14" x14ac:dyDescent="0.3">
      <c r="A172" s="8" t="s">
        <v>287</v>
      </c>
      <c r="B172" s="2" t="s">
        <v>72</v>
      </c>
      <c r="C172" s="2" t="s">
        <v>38</v>
      </c>
      <c r="D172" s="2" t="s">
        <v>24</v>
      </c>
      <c r="E172" s="2" t="s">
        <v>22</v>
      </c>
      <c r="F172" s="2" t="s">
        <v>26</v>
      </c>
      <c r="G172" s="16">
        <v>53</v>
      </c>
      <c r="H172" s="16">
        <v>24999</v>
      </c>
      <c r="I172" s="16">
        <v>1324947</v>
      </c>
      <c r="J172" s="16">
        <v>1174064</v>
      </c>
      <c r="K172" s="16">
        <v>6.1</v>
      </c>
      <c r="L172" s="16">
        <v>2</v>
      </c>
      <c r="M172" s="17">
        <f>Table4[[#This Row],[Total_Sales_INR]]*0.2</f>
        <v>264989.40000000002</v>
      </c>
      <c r="N172" s="18">
        <v>1291345</v>
      </c>
    </row>
    <row r="173" spans="1:14" x14ac:dyDescent="0.3">
      <c r="A173" s="9" t="s">
        <v>288</v>
      </c>
      <c r="B173" s="10" t="s">
        <v>37</v>
      </c>
      <c r="C173" s="10" t="s">
        <v>48</v>
      </c>
      <c r="D173" s="10" t="s">
        <v>21</v>
      </c>
      <c r="E173" s="10" t="s">
        <v>46</v>
      </c>
      <c r="F173" s="10" t="s">
        <v>19</v>
      </c>
      <c r="G173" s="19">
        <v>40</v>
      </c>
      <c r="H173" s="19">
        <v>999</v>
      </c>
      <c r="I173" s="19">
        <v>39960</v>
      </c>
      <c r="J173" s="19">
        <v>35032</v>
      </c>
      <c r="K173" s="19">
        <v>7.6</v>
      </c>
      <c r="L173" s="19">
        <v>0</v>
      </c>
      <c r="M173" s="20">
        <f>Table4[[#This Row],[Total_Sales_INR]]*0.2</f>
        <v>7992</v>
      </c>
      <c r="N173" s="18">
        <v>43374</v>
      </c>
    </row>
    <row r="174" spans="1:14" x14ac:dyDescent="0.3">
      <c r="A174" s="8" t="s">
        <v>289</v>
      </c>
      <c r="B174" s="2" t="s">
        <v>37</v>
      </c>
      <c r="C174" s="2" t="s">
        <v>48</v>
      </c>
      <c r="D174" s="2" t="s">
        <v>24</v>
      </c>
      <c r="E174" s="2" t="s">
        <v>18</v>
      </c>
      <c r="F174" s="2" t="s">
        <v>19</v>
      </c>
      <c r="G174" s="16">
        <v>19</v>
      </c>
      <c r="H174" s="16">
        <v>499</v>
      </c>
      <c r="I174" s="16">
        <v>9481</v>
      </c>
      <c r="J174" s="16">
        <v>10989</v>
      </c>
      <c r="K174" s="16">
        <v>10.7</v>
      </c>
      <c r="L174" s="16">
        <v>0</v>
      </c>
      <c r="M174" s="17">
        <f>Table4[[#This Row],[Total_Sales_INR]]*0.2</f>
        <v>1896.2</v>
      </c>
      <c r="N174" s="18">
        <v>8796</v>
      </c>
    </row>
    <row r="175" spans="1:14" x14ac:dyDescent="0.3">
      <c r="A175" s="9" t="s">
        <v>290</v>
      </c>
      <c r="B175" s="10" t="s">
        <v>126</v>
      </c>
      <c r="C175" s="10" t="s">
        <v>48</v>
      </c>
      <c r="D175" s="10" t="s">
        <v>17</v>
      </c>
      <c r="E175" s="10" t="s">
        <v>25</v>
      </c>
      <c r="F175" s="10" t="s">
        <v>140</v>
      </c>
      <c r="G175" s="19">
        <v>20</v>
      </c>
      <c r="H175" s="19">
        <v>4999</v>
      </c>
      <c r="I175" s="19">
        <v>99980</v>
      </c>
      <c r="J175" s="19">
        <v>101470</v>
      </c>
      <c r="K175" s="19">
        <v>0</v>
      </c>
      <c r="L175" s="19">
        <v>0</v>
      </c>
      <c r="M175" s="20">
        <f>Table4[[#This Row],[Total_Sales_INR]]*0.2</f>
        <v>19996</v>
      </c>
      <c r="N175" s="18">
        <v>86492</v>
      </c>
    </row>
    <row r="176" spans="1:14" x14ac:dyDescent="0.3">
      <c r="A176" s="8" t="s">
        <v>291</v>
      </c>
      <c r="B176" s="2" t="s">
        <v>126</v>
      </c>
      <c r="C176" s="2" t="s">
        <v>60</v>
      </c>
      <c r="D176" s="2" t="s">
        <v>28</v>
      </c>
      <c r="E176" s="10" t="s">
        <v>25</v>
      </c>
      <c r="F176" s="2" t="s">
        <v>57</v>
      </c>
      <c r="G176" s="16">
        <v>89</v>
      </c>
      <c r="H176" s="16">
        <v>24999</v>
      </c>
      <c r="I176" s="16">
        <v>2224911</v>
      </c>
      <c r="J176" s="16">
        <v>2567367</v>
      </c>
      <c r="K176" s="16">
        <v>14.3</v>
      </c>
      <c r="L176" s="16">
        <v>6</v>
      </c>
      <c r="M176" s="17">
        <f>Table4[[#This Row],[Total_Sales_INR]]*0.2</f>
        <v>444982.2</v>
      </c>
      <c r="N176" s="18">
        <v>2285971</v>
      </c>
    </row>
    <row r="177" spans="1:14" x14ac:dyDescent="0.3">
      <c r="A177" s="9" t="s">
        <v>292</v>
      </c>
      <c r="B177" s="10" t="s">
        <v>37</v>
      </c>
      <c r="C177" s="10" t="s">
        <v>60</v>
      </c>
      <c r="D177" s="10" t="s">
        <v>45</v>
      </c>
      <c r="E177" s="10" t="s">
        <v>25</v>
      </c>
      <c r="F177" s="10" t="s">
        <v>57</v>
      </c>
      <c r="G177" s="19">
        <v>71</v>
      </c>
      <c r="H177" s="19">
        <v>999</v>
      </c>
      <c r="I177" s="19">
        <v>70929</v>
      </c>
      <c r="J177" s="19">
        <v>60474</v>
      </c>
      <c r="K177" s="19">
        <v>4</v>
      </c>
      <c r="L177" s="19">
        <v>0</v>
      </c>
      <c r="M177" s="20">
        <f>Table4[[#This Row],[Total_Sales_INR]]*0.2</f>
        <v>14185.800000000001</v>
      </c>
      <c r="N177" s="18">
        <v>62592</v>
      </c>
    </row>
    <row r="178" spans="1:14" x14ac:dyDescent="0.3">
      <c r="A178" s="8" t="s">
        <v>293</v>
      </c>
      <c r="B178" s="2" t="s">
        <v>126</v>
      </c>
      <c r="C178" s="2" t="s">
        <v>16</v>
      </c>
      <c r="D178" s="2" t="s">
        <v>17</v>
      </c>
      <c r="E178" s="2" t="s">
        <v>46</v>
      </c>
      <c r="F178" s="2" t="s">
        <v>35</v>
      </c>
      <c r="G178" s="16">
        <v>93</v>
      </c>
      <c r="H178" s="16">
        <v>499</v>
      </c>
      <c r="I178" s="16">
        <v>46407</v>
      </c>
      <c r="J178" s="16">
        <v>54612</v>
      </c>
      <c r="K178" s="16">
        <v>5.9</v>
      </c>
      <c r="L178" s="16">
        <v>5</v>
      </c>
      <c r="M178" s="17">
        <f>Table4[[#This Row],[Total_Sales_INR]]*0.2</f>
        <v>9281.4</v>
      </c>
      <c r="N178" s="18">
        <v>43540</v>
      </c>
    </row>
    <row r="179" spans="1:14" x14ac:dyDescent="0.3">
      <c r="A179" s="9" t="s">
        <v>294</v>
      </c>
      <c r="B179" s="10" t="s">
        <v>37</v>
      </c>
      <c r="C179" s="10" t="s">
        <v>60</v>
      </c>
      <c r="D179" s="10" t="s">
        <v>24</v>
      </c>
      <c r="E179" s="10" t="s">
        <v>29</v>
      </c>
      <c r="F179" s="10" t="s">
        <v>57</v>
      </c>
      <c r="G179" s="19">
        <v>184</v>
      </c>
      <c r="H179" s="19">
        <v>9999</v>
      </c>
      <c r="I179" s="19">
        <v>1839816</v>
      </c>
      <c r="J179" s="19">
        <v>1660436</v>
      </c>
      <c r="K179" s="19">
        <v>14.2</v>
      </c>
      <c r="L179" s="19">
        <v>10</v>
      </c>
      <c r="M179" s="20">
        <f>Table4[[#This Row],[Total_Sales_INR]]*0.2</f>
        <v>367963.2</v>
      </c>
      <c r="N179" s="18">
        <v>1700485</v>
      </c>
    </row>
    <row r="180" spans="1:14" x14ac:dyDescent="0.3">
      <c r="A180" s="8" t="s">
        <v>295</v>
      </c>
      <c r="B180" s="2" t="s">
        <v>142</v>
      </c>
      <c r="C180" s="2" t="s">
        <v>48</v>
      </c>
      <c r="D180" s="2" t="s">
        <v>24</v>
      </c>
      <c r="E180" s="2" t="s">
        <v>22</v>
      </c>
      <c r="F180" s="2" t="s">
        <v>61</v>
      </c>
      <c r="G180" s="16">
        <v>65</v>
      </c>
      <c r="H180" s="16">
        <v>2499</v>
      </c>
      <c r="I180" s="16">
        <v>162435</v>
      </c>
      <c r="J180" s="16">
        <v>154210</v>
      </c>
      <c r="K180" s="16">
        <v>2.6</v>
      </c>
      <c r="L180" s="16">
        <v>0</v>
      </c>
      <c r="M180" s="17">
        <f>Table4[[#This Row],[Total_Sales_INR]]*0.2</f>
        <v>32487</v>
      </c>
      <c r="N180" s="18">
        <v>161268</v>
      </c>
    </row>
    <row r="181" spans="1:14" x14ac:dyDescent="0.3">
      <c r="A181" s="9" t="s">
        <v>297</v>
      </c>
      <c r="B181" s="10" t="s">
        <v>105</v>
      </c>
      <c r="C181" s="10" t="s">
        <v>16</v>
      </c>
      <c r="D181" s="10" t="s">
        <v>21</v>
      </c>
      <c r="E181" s="10" t="s">
        <v>25</v>
      </c>
      <c r="F181" s="10" t="s">
        <v>57</v>
      </c>
      <c r="G181" s="19">
        <v>189</v>
      </c>
      <c r="H181" s="19">
        <v>499</v>
      </c>
      <c r="I181" s="19">
        <v>94311</v>
      </c>
      <c r="J181" s="19">
        <v>94341</v>
      </c>
      <c r="K181" s="19">
        <v>2.1</v>
      </c>
      <c r="L181" s="19">
        <v>8</v>
      </c>
      <c r="M181" s="20">
        <f>Table4[[#This Row],[Total_Sales_INR]]*0.2</f>
        <v>18862.2</v>
      </c>
      <c r="N181" s="18">
        <v>89199</v>
      </c>
    </row>
    <row r="182" spans="1:14" x14ac:dyDescent="0.3">
      <c r="A182" s="8" t="s">
        <v>298</v>
      </c>
      <c r="B182" s="2" t="s">
        <v>92</v>
      </c>
      <c r="C182" s="2" t="s">
        <v>16</v>
      </c>
      <c r="D182" s="2" t="s">
        <v>17</v>
      </c>
      <c r="E182" s="2" t="s">
        <v>46</v>
      </c>
      <c r="F182" s="2" t="s">
        <v>61</v>
      </c>
      <c r="G182" s="16">
        <v>64</v>
      </c>
      <c r="H182" s="16">
        <v>4999</v>
      </c>
      <c r="I182" s="16">
        <v>319936</v>
      </c>
      <c r="J182" s="16">
        <v>292383</v>
      </c>
      <c r="K182" s="16">
        <v>7.6</v>
      </c>
      <c r="L182" s="16">
        <v>1</v>
      </c>
      <c r="M182" s="17">
        <f>Table4[[#This Row],[Total_Sales_INR]]*0.2</f>
        <v>63987.200000000004</v>
      </c>
      <c r="N182" s="18">
        <v>318130</v>
      </c>
    </row>
    <row r="183" spans="1:14" x14ac:dyDescent="0.3">
      <c r="A183" s="9" t="s">
        <v>299</v>
      </c>
      <c r="B183" s="10" t="s">
        <v>37</v>
      </c>
      <c r="C183" s="10" t="s">
        <v>48</v>
      </c>
      <c r="D183" s="10" t="s">
        <v>24</v>
      </c>
      <c r="E183" s="10" t="s">
        <v>25</v>
      </c>
      <c r="F183" s="10" t="s">
        <v>26</v>
      </c>
      <c r="G183" s="19">
        <v>143</v>
      </c>
      <c r="H183" s="19">
        <v>14999</v>
      </c>
      <c r="I183" s="19">
        <v>2144857</v>
      </c>
      <c r="J183" s="19">
        <v>2514955</v>
      </c>
      <c r="K183" s="19">
        <v>2.6</v>
      </c>
      <c r="L183" s="19">
        <v>5</v>
      </c>
      <c r="M183" s="20">
        <f>Table4[[#This Row],[Total_Sales_INR]]*0.2</f>
        <v>428971.4</v>
      </c>
      <c r="N183" s="18">
        <v>2423348</v>
      </c>
    </row>
    <row r="184" spans="1:14" x14ac:dyDescent="0.3">
      <c r="A184" s="8" t="s">
        <v>300</v>
      </c>
      <c r="B184" s="2" t="s">
        <v>92</v>
      </c>
      <c r="C184" s="2" t="s">
        <v>16</v>
      </c>
      <c r="D184" s="2" t="s">
        <v>24</v>
      </c>
      <c r="E184" s="2" t="s">
        <v>22</v>
      </c>
      <c r="F184" s="2" t="s">
        <v>19</v>
      </c>
      <c r="G184" s="16">
        <v>50</v>
      </c>
      <c r="H184" s="16">
        <v>2499</v>
      </c>
      <c r="I184" s="16">
        <v>124950</v>
      </c>
      <c r="J184" s="16">
        <v>138960</v>
      </c>
      <c r="K184" s="16">
        <v>3.6</v>
      </c>
      <c r="L184" s="16">
        <v>0</v>
      </c>
      <c r="M184" s="17">
        <f>Table4[[#This Row],[Total_Sales_INR]]*0.2</f>
        <v>24990</v>
      </c>
      <c r="N184" s="18">
        <v>100864</v>
      </c>
    </row>
    <row r="185" spans="1:14" x14ac:dyDescent="0.3">
      <c r="A185" s="9" t="s">
        <v>301</v>
      </c>
      <c r="B185" s="10" t="s">
        <v>92</v>
      </c>
      <c r="C185" s="10" t="s">
        <v>16</v>
      </c>
      <c r="D185" s="10" t="s">
        <v>28</v>
      </c>
      <c r="E185" s="10" t="s">
        <v>18</v>
      </c>
      <c r="F185" s="10" t="s">
        <v>39</v>
      </c>
      <c r="G185" s="19">
        <v>151</v>
      </c>
      <c r="H185" s="19">
        <v>4999</v>
      </c>
      <c r="I185" s="19">
        <v>754849</v>
      </c>
      <c r="J185" s="19">
        <v>661677</v>
      </c>
      <c r="K185" s="19">
        <v>6.3</v>
      </c>
      <c r="L185" s="19">
        <v>10</v>
      </c>
      <c r="M185" s="20">
        <f>Table4[[#This Row],[Total_Sales_INR]]*0.2</f>
        <v>150969.80000000002</v>
      </c>
      <c r="N185" s="18">
        <v>807629</v>
      </c>
    </row>
    <row r="186" spans="1:14" x14ac:dyDescent="0.3">
      <c r="A186" s="8" t="s">
        <v>302</v>
      </c>
      <c r="B186" s="2" t="s">
        <v>92</v>
      </c>
      <c r="C186" s="2" t="s">
        <v>16</v>
      </c>
      <c r="D186" s="2" t="s">
        <v>45</v>
      </c>
      <c r="E186" s="2" t="s">
        <v>18</v>
      </c>
      <c r="F186" s="2" t="s">
        <v>61</v>
      </c>
      <c r="G186" s="16">
        <v>78</v>
      </c>
      <c r="H186" s="16">
        <v>4999</v>
      </c>
      <c r="I186" s="16">
        <v>389922</v>
      </c>
      <c r="J186" s="16">
        <v>450880</v>
      </c>
      <c r="K186" s="16">
        <v>6.7</v>
      </c>
      <c r="L186" s="16">
        <v>3</v>
      </c>
      <c r="M186" s="17">
        <f>Table4[[#This Row],[Total_Sales_INR]]*0.2</f>
        <v>77984.400000000009</v>
      </c>
      <c r="N186" s="18">
        <v>361516</v>
      </c>
    </row>
    <row r="187" spans="1:14" x14ac:dyDescent="0.3">
      <c r="A187" s="9" t="s">
        <v>303</v>
      </c>
      <c r="B187" s="10" t="s">
        <v>105</v>
      </c>
      <c r="C187" s="10" t="s">
        <v>60</v>
      </c>
      <c r="D187" s="10" t="s">
        <v>45</v>
      </c>
      <c r="E187" s="10" t="s">
        <v>22</v>
      </c>
      <c r="F187" s="10" t="s">
        <v>61</v>
      </c>
      <c r="G187" s="19">
        <v>167</v>
      </c>
      <c r="H187" s="19">
        <v>4999</v>
      </c>
      <c r="I187" s="19">
        <v>834833</v>
      </c>
      <c r="J187" s="19">
        <v>827838</v>
      </c>
      <c r="K187" s="19">
        <v>2.4</v>
      </c>
      <c r="L187" s="19">
        <v>1</v>
      </c>
      <c r="M187" s="20">
        <f>Table4[[#This Row],[Total_Sales_INR]]*0.2</f>
        <v>166966.6</v>
      </c>
      <c r="N187" s="18">
        <v>697318</v>
      </c>
    </row>
    <row r="188" spans="1:14" x14ac:dyDescent="0.3">
      <c r="A188" s="8" t="s">
        <v>305</v>
      </c>
      <c r="B188" s="2" t="s">
        <v>92</v>
      </c>
      <c r="C188" s="2" t="s">
        <v>38</v>
      </c>
      <c r="D188" s="2" t="s">
        <v>21</v>
      </c>
      <c r="E188" s="2" t="s">
        <v>18</v>
      </c>
      <c r="F188" s="2" t="s">
        <v>26</v>
      </c>
      <c r="G188" s="16">
        <v>101</v>
      </c>
      <c r="H188" s="16">
        <v>24999</v>
      </c>
      <c r="I188" s="16">
        <v>2524899</v>
      </c>
      <c r="J188" s="16">
        <v>2616738</v>
      </c>
      <c r="K188" s="16">
        <v>11.3</v>
      </c>
      <c r="L188" s="16">
        <v>1</v>
      </c>
      <c r="M188" s="17">
        <f>Table4[[#This Row],[Total_Sales_INR]]*0.2</f>
        <v>504979.80000000005</v>
      </c>
      <c r="N188" s="18">
        <v>2362389</v>
      </c>
    </row>
    <row r="189" spans="1:14" x14ac:dyDescent="0.3">
      <c r="A189" s="9" t="s">
        <v>306</v>
      </c>
      <c r="B189" s="10" t="s">
        <v>92</v>
      </c>
      <c r="C189" s="10" t="s">
        <v>38</v>
      </c>
      <c r="D189" s="10" t="s">
        <v>24</v>
      </c>
      <c r="E189" s="10" t="s">
        <v>18</v>
      </c>
      <c r="F189" s="10" t="s">
        <v>61</v>
      </c>
      <c r="G189" s="19">
        <v>53</v>
      </c>
      <c r="H189" s="19">
        <v>24999</v>
      </c>
      <c r="I189" s="19">
        <v>1324947</v>
      </c>
      <c r="J189" s="19">
        <v>1439776</v>
      </c>
      <c r="K189" s="19">
        <v>14.4</v>
      </c>
      <c r="L189" s="19">
        <v>3</v>
      </c>
      <c r="M189" s="20">
        <f>Table4[[#This Row],[Total_Sales_INR]]*0.2</f>
        <v>264989.40000000002</v>
      </c>
      <c r="N189" s="18">
        <v>1448414</v>
      </c>
    </row>
    <row r="190" spans="1:14" x14ac:dyDescent="0.3">
      <c r="A190" s="8" t="s">
        <v>307</v>
      </c>
      <c r="B190" s="2" t="s">
        <v>92</v>
      </c>
      <c r="C190" s="2" t="s">
        <v>38</v>
      </c>
      <c r="D190" s="2" t="s">
        <v>28</v>
      </c>
      <c r="E190" s="2" t="s">
        <v>18</v>
      </c>
      <c r="F190" s="2" t="s">
        <v>57</v>
      </c>
      <c r="G190" s="16">
        <v>32</v>
      </c>
      <c r="H190" s="16">
        <v>4999</v>
      </c>
      <c r="I190" s="16">
        <v>159968</v>
      </c>
      <c r="J190" s="16">
        <v>169040</v>
      </c>
      <c r="K190" s="16">
        <v>0.2</v>
      </c>
      <c r="L190" s="16">
        <v>1</v>
      </c>
      <c r="M190" s="17">
        <f>Table4[[#This Row],[Total_Sales_INR]]*0.2</f>
        <v>31993.600000000002</v>
      </c>
      <c r="N190" s="18">
        <v>155846</v>
      </c>
    </row>
    <row r="191" spans="1:14" x14ac:dyDescent="0.3">
      <c r="A191" s="9" t="s">
        <v>308</v>
      </c>
      <c r="B191" s="10" t="s">
        <v>92</v>
      </c>
      <c r="C191" s="10" t="s">
        <v>38</v>
      </c>
      <c r="D191" s="10" t="s">
        <v>45</v>
      </c>
      <c r="E191" s="10" t="s">
        <v>46</v>
      </c>
      <c r="F191" s="10" t="s">
        <v>19</v>
      </c>
      <c r="G191" s="19">
        <v>100</v>
      </c>
      <c r="H191" s="19">
        <v>2499</v>
      </c>
      <c r="I191" s="19">
        <v>249900</v>
      </c>
      <c r="J191" s="19">
        <v>238235</v>
      </c>
      <c r="K191" s="19">
        <v>2.5</v>
      </c>
      <c r="L191" s="19">
        <v>3</v>
      </c>
      <c r="M191" s="20">
        <f>Table4[[#This Row],[Total_Sales_INR]]*0.2</f>
        <v>49980</v>
      </c>
      <c r="N191" s="18">
        <v>214907</v>
      </c>
    </row>
    <row r="192" spans="1:14" x14ac:dyDescent="0.3">
      <c r="A192" s="8" t="s">
        <v>309</v>
      </c>
      <c r="B192" s="2" t="s">
        <v>92</v>
      </c>
      <c r="C192" s="2" t="s">
        <v>48</v>
      </c>
      <c r="D192" s="2" t="s">
        <v>17</v>
      </c>
      <c r="E192" s="2" t="s">
        <v>25</v>
      </c>
      <c r="F192" s="2" t="s">
        <v>57</v>
      </c>
      <c r="G192" s="16">
        <v>97</v>
      </c>
      <c r="H192" s="16">
        <v>9999</v>
      </c>
      <c r="I192" s="16">
        <v>969903</v>
      </c>
      <c r="J192" s="16">
        <v>979306</v>
      </c>
      <c r="K192" s="16">
        <v>8.1999999999999993</v>
      </c>
      <c r="L192" s="16">
        <v>1</v>
      </c>
      <c r="M192" s="17">
        <f>Table4[[#This Row],[Total_Sales_INR]]*0.2</f>
        <v>193980.6</v>
      </c>
      <c r="N192" s="18">
        <v>800584</v>
      </c>
    </row>
    <row r="193" spans="1:14" x14ac:dyDescent="0.3">
      <c r="A193" s="9" t="s">
        <v>310</v>
      </c>
      <c r="B193" s="10" t="s">
        <v>92</v>
      </c>
      <c r="C193" s="10" t="s">
        <v>48</v>
      </c>
      <c r="D193" s="10" t="s">
        <v>21</v>
      </c>
      <c r="E193" s="10" t="s">
        <v>18</v>
      </c>
      <c r="F193" s="10" t="s">
        <v>61</v>
      </c>
      <c r="G193" s="19">
        <v>195</v>
      </c>
      <c r="H193" s="19">
        <v>999</v>
      </c>
      <c r="I193" s="19">
        <v>194805</v>
      </c>
      <c r="J193" s="19">
        <v>188735</v>
      </c>
      <c r="K193" s="19">
        <v>1.3</v>
      </c>
      <c r="L193" s="19">
        <v>11</v>
      </c>
      <c r="M193" s="20">
        <f>Table4[[#This Row],[Total_Sales_INR]]*0.2</f>
        <v>38961</v>
      </c>
      <c r="N193" s="18">
        <v>173480</v>
      </c>
    </row>
    <row r="194" spans="1:14" x14ac:dyDescent="0.3">
      <c r="A194" s="8" t="s">
        <v>311</v>
      </c>
      <c r="B194" s="2" t="s">
        <v>72</v>
      </c>
      <c r="C194" s="2" t="s">
        <v>60</v>
      </c>
      <c r="D194" s="2" t="s">
        <v>24</v>
      </c>
      <c r="E194" s="2" t="s">
        <v>22</v>
      </c>
      <c r="F194" s="2" t="s">
        <v>39</v>
      </c>
      <c r="G194" s="16">
        <v>163</v>
      </c>
      <c r="H194" s="16">
        <v>4999</v>
      </c>
      <c r="I194" s="16">
        <v>814837</v>
      </c>
      <c r="J194" s="16">
        <v>856990</v>
      </c>
      <c r="K194" s="16">
        <v>1.9</v>
      </c>
      <c r="L194" s="16">
        <v>9</v>
      </c>
      <c r="M194" s="17">
        <f>Table4[[#This Row],[Total_Sales_INR]]*0.2</f>
        <v>162967.40000000002</v>
      </c>
      <c r="N194" s="18">
        <v>901214</v>
      </c>
    </row>
    <row r="195" spans="1:14" x14ac:dyDescent="0.3">
      <c r="A195" s="9" t="s">
        <v>312</v>
      </c>
      <c r="B195" s="10" t="s">
        <v>105</v>
      </c>
      <c r="C195" s="10" t="s">
        <v>16</v>
      </c>
      <c r="D195" s="10" t="s">
        <v>45</v>
      </c>
      <c r="E195" s="10" t="s">
        <v>25</v>
      </c>
      <c r="F195" s="10" t="s">
        <v>39</v>
      </c>
      <c r="G195" s="19">
        <v>34</v>
      </c>
      <c r="H195" s="19">
        <v>4999</v>
      </c>
      <c r="I195" s="19">
        <v>169966</v>
      </c>
      <c r="J195" s="19">
        <v>201362</v>
      </c>
      <c r="K195" s="19">
        <v>2</v>
      </c>
      <c r="L195" s="19">
        <v>0</v>
      </c>
      <c r="M195" s="20">
        <f>Table4[[#This Row],[Total_Sales_INR]]*0.2</f>
        <v>33993.200000000004</v>
      </c>
      <c r="N195" s="18">
        <v>170270</v>
      </c>
    </row>
    <row r="196" spans="1:14" x14ac:dyDescent="0.3">
      <c r="A196" s="8" t="s">
        <v>375</v>
      </c>
      <c r="B196" s="2" t="s">
        <v>126</v>
      </c>
      <c r="C196" s="2" t="s">
        <v>60</v>
      </c>
      <c r="D196" s="2" t="s">
        <v>28</v>
      </c>
      <c r="E196" s="2" t="s">
        <v>22</v>
      </c>
      <c r="F196" s="2" t="s">
        <v>103</v>
      </c>
      <c r="G196" s="16">
        <v>147</v>
      </c>
      <c r="H196" s="16">
        <v>9999</v>
      </c>
      <c r="I196" s="16">
        <v>1469853</v>
      </c>
      <c r="J196" s="16">
        <v>1417076</v>
      </c>
      <c r="K196" s="16">
        <v>12.5</v>
      </c>
      <c r="L196" s="16">
        <v>4</v>
      </c>
      <c r="M196" s="17">
        <f>Table4[[#This Row],[Total_Sales_INR]]*0.2</f>
        <v>293970.60000000003</v>
      </c>
      <c r="N196" s="18">
        <v>1677462</v>
      </c>
    </row>
    <row r="197" spans="1:14" x14ac:dyDescent="0.3">
      <c r="A197" s="9" t="s">
        <v>314</v>
      </c>
      <c r="B197" s="10" t="s">
        <v>92</v>
      </c>
      <c r="C197" s="10" t="s">
        <v>60</v>
      </c>
      <c r="D197" s="10" t="s">
        <v>17</v>
      </c>
      <c r="E197" s="10" t="s">
        <v>18</v>
      </c>
      <c r="F197" s="10" t="s">
        <v>39</v>
      </c>
      <c r="G197" s="19">
        <v>23</v>
      </c>
      <c r="H197" s="19">
        <v>999</v>
      </c>
      <c r="I197" s="19">
        <v>22977</v>
      </c>
      <c r="J197" s="19">
        <v>21224</v>
      </c>
      <c r="K197" s="19">
        <v>1.9</v>
      </c>
      <c r="L197" s="19">
        <v>1</v>
      </c>
      <c r="M197" s="20">
        <f>Table4[[#This Row],[Total_Sales_INR]]*0.2</f>
        <v>4595.4000000000005</v>
      </c>
      <c r="N197" s="18">
        <v>19479</v>
      </c>
    </row>
    <row r="198" spans="1:14" x14ac:dyDescent="0.3">
      <c r="A198" s="8" t="s">
        <v>315</v>
      </c>
      <c r="B198" s="2" t="s">
        <v>142</v>
      </c>
      <c r="C198" s="2" t="s">
        <v>60</v>
      </c>
      <c r="D198" s="2" t="s">
        <v>21</v>
      </c>
      <c r="E198" s="2" t="s">
        <v>25</v>
      </c>
      <c r="F198" s="2" t="s">
        <v>61</v>
      </c>
      <c r="G198" s="16">
        <v>154</v>
      </c>
      <c r="H198" s="16">
        <v>24999</v>
      </c>
      <c r="I198" s="16">
        <v>3849846</v>
      </c>
      <c r="J198" s="16">
        <v>3660669</v>
      </c>
      <c r="K198" s="16">
        <v>8.6999999999999993</v>
      </c>
      <c r="L198" s="16">
        <v>7</v>
      </c>
      <c r="M198" s="17">
        <f>Table4[[#This Row],[Total_Sales_INR]]*0.2</f>
        <v>769969.20000000007</v>
      </c>
      <c r="N198" s="18">
        <v>3517034</v>
      </c>
    </row>
    <row r="199" spans="1:14" x14ac:dyDescent="0.3">
      <c r="A199" s="9" t="s">
        <v>316</v>
      </c>
      <c r="B199" s="10" t="s">
        <v>15</v>
      </c>
      <c r="C199" s="10" t="s">
        <v>38</v>
      </c>
      <c r="D199" s="10" t="s">
        <v>21</v>
      </c>
      <c r="E199" s="10" t="s">
        <v>29</v>
      </c>
      <c r="F199" s="10" t="s">
        <v>39</v>
      </c>
      <c r="G199" s="19">
        <v>188</v>
      </c>
      <c r="H199" s="19">
        <v>499</v>
      </c>
      <c r="I199" s="19">
        <v>93812</v>
      </c>
      <c r="J199" s="19">
        <v>89079</v>
      </c>
      <c r="K199" s="19">
        <v>10.9</v>
      </c>
      <c r="L199" s="19">
        <v>9</v>
      </c>
      <c r="M199" s="20">
        <f>Table4[[#This Row],[Total_Sales_INR]]*0.2</f>
        <v>18762.400000000001</v>
      </c>
      <c r="N199" s="18">
        <v>78811</v>
      </c>
    </row>
    <row r="200" spans="1:14" x14ac:dyDescent="0.3">
      <c r="A200" s="8" t="s">
        <v>318</v>
      </c>
      <c r="B200" s="2" t="s">
        <v>92</v>
      </c>
      <c r="C200" s="2" t="s">
        <v>60</v>
      </c>
      <c r="D200" s="2" t="s">
        <v>28</v>
      </c>
      <c r="E200" s="2" t="s">
        <v>46</v>
      </c>
      <c r="F200" s="2" t="s">
        <v>57</v>
      </c>
      <c r="G200" s="16">
        <v>195</v>
      </c>
      <c r="H200" s="16">
        <v>1499</v>
      </c>
      <c r="I200" s="16">
        <v>292305</v>
      </c>
      <c r="J200" s="16">
        <v>304939</v>
      </c>
      <c r="K200" s="16">
        <v>11.1</v>
      </c>
      <c r="L200" s="16">
        <v>14</v>
      </c>
      <c r="M200" s="17">
        <f>Table4[[#This Row],[Total_Sales_INR]]*0.2</f>
        <v>58461</v>
      </c>
      <c r="N200" s="18">
        <v>297639</v>
      </c>
    </row>
    <row r="201" spans="1:14" x14ac:dyDescent="0.3">
      <c r="A201" s="9" t="s">
        <v>319</v>
      </c>
      <c r="B201" s="10" t="s">
        <v>92</v>
      </c>
      <c r="C201" s="10" t="s">
        <v>60</v>
      </c>
      <c r="D201" s="10" t="s">
        <v>45</v>
      </c>
      <c r="E201" s="10" t="s">
        <v>46</v>
      </c>
      <c r="F201" s="10" t="s">
        <v>57</v>
      </c>
      <c r="G201" s="19">
        <v>79</v>
      </c>
      <c r="H201" s="19">
        <v>24999</v>
      </c>
      <c r="I201" s="19">
        <v>1974921</v>
      </c>
      <c r="J201" s="19">
        <v>2030561</v>
      </c>
      <c r="K201" s="19">
        <v>12.3</v>
      </c>
      <c r="L201" s="19">
        <v>6</v>
      </c>
      <c r="M201" s="20">
        <f>Table4[[#This Row],[Total_Sales_INR]]*0.2</f>
        <v>394984.2</v>
      </c>
      <c r="N201" s="18">
        <v>2138590</v>
      </c>
    </row>
    <row r="202" spans="1:14" x14ac:dyDescent="0.3">
      <c r="A202" s="8" t="s">
        <v>320</v>
      </c>
      <c r="B202" s="2" t="s">
        <v>183</v>
      </c>
      <c r="C202" s="2" t="s">
        <v>16</v>
      </c>
      <c r="D202" s="2" t="s">
        <v>17</v>
      </c>
      <c r="E202" s="2" t="s">
        <v>25</v>
      </c>
      <c r="F202" s="2" t="s">
        <v>57</v>
      </c>
      <c r="G202" s="16">
        <v>200</v>
      </c>
      <c r="H202" s="16">
        <v>499</v>
      </c>
      <c r="I202" s="16">
        <v>99800</v>
      </c>
      <c r="J202" s="16">
        <v>118380</v>
      </c>
      <c r="K202" s="16">
        <v>14.7</v>
      </c>
      <c r="L202" s="16">
        <v>14</v>
      </c>
      <c r="M202" s="17">
        <f>Table4[[#This Row],[Total_Sales_INR]]*0.2</f>
        <v>19960</v>
      </c>
      <c r="N202" s="18">
        <v>87079</v>
      </c>
    </row>
    <row r="203" spans="1:14" x14ac:dyDescent="0.3">
      <c r="A203" s="9" t="s">
        <v>321</v>
      </c>
      <c r="B203" s="10" t="s">
        <v>183</v>
      </c>
      <c r="C203" s="10" t="s">
        <v>16</v>
      </c>
      <c r="D203" s="10" t="s">
        <v>21</v>
      </c>
      <c r="E203" s="10" t="s">
        <v>46</v>
      </c>
      <c r="F203" s="10" t="s">
        <v>57</v>
      </c>
      <c r="G203" s="19">
        <v>83</v>
      </c>
      <c r="H203" s="19">
        <v>4999</v>
      </c>
      <c r="I203" s="19">
        <v>414917</v>
      </c>
      <c r="J203" s="19">
        <v>472309</v>
      </c>
      <c r="K203" s="19">
        <v>4.0999999999999996</v>
      </c>
      <c r="L203" s="19">
        <v>3</v>
      </c>
      <c r="M203" s="20">
        <f>Table4[[#This Row],[Total_Sales_INR]]*0.2</f>
        <v>82983.400000000009</v>
      </c>
      <c r="N203" s="18">
        <v>343480</v>
      </c>
    </row>
    <row r="204" spans="1:14" x14ac:dyDescent="0.3">
      <c r="A204" s="8" t="s">
        <v>322</v>
      </c>
      <c r="B204" s="2" t="s">
        <v>183</v>
      </c>
      <c r="C204" s="2" t="s">
        <v>16</v>
      </c>
      <c r="D204" s="2" t="s">
        <v>24</v>
      </c>
      <c r="E204" s="2" t="s">
        <v>29</v>
      </c>
      <c r="F204" s="2" t="s">
        <v>39</v>
      </c>
      <c r="G204" s="16">
        <v>178</v>
      </c>
      <c r="H204" s="16">
        <v>9999</v>
      </c>
      <c r="I204" s="16">
        <v>1779822</v>
      </c>
      <c r="J204" s="16">
        <v>2026766</v>
      </c>
      <c r="K204" s="16">
        <v>10.9</v>
      </c>
      <c r="L204" s="16">
        <v>2</v>
      </c>
      <c r="M204" s="17">
        <f>Table4[[#This Row],[Total_Sales_INR]]*0.2</f>
        <v>355964.4</v>
      </c>
      <c r="N204" s="18">
        <v>1778613</v>
      </c>
    </row>
    <row r="205" spans="1:14" x14ac:dyDescent="0.3">
      <c r="A205" s="9" t="s">
        <v>376</v>
      </c>
      <c r="B205" s="10" t="s">
        <v>183</v>
      </c>
      <c r="C205" s="10" t="s">
        <v>16</v>
      </c>
      <c r="D205" s="10" t="s">
        <v>28</v>
      </c>
      <c r="E205" s="10" t="s">
        <v>22</v>
      </c>
      <c r="F205" s="10" t="s">
        <v>26</v>
      </c>
      <c r="G205" s="19">
        <v>99</v>
      </c>
      <c r="H205" s="19">
        <v>9999</v>
      </c>
      <c r="I205" s="19">
        <v>989901</v>
      </c>
      <c r="J205" s="19">
        <v>1083286</v>
      </c>
      <c r="K205" s="19">
        <v>8.1999999999999993</v>
      </c>
      <c r="L205" s="19">
        <v>5</v>
      </c>
      <c r="M205" s="20">
        <f>Table4[[#This Row],[Total_Sales_INR]]*0.2</f>
        <v>197980.2</v>
      </c>
      <c r="N205" s="18">
        <v>859286</v>
      </c>
    </row>
    <row r="206" spans="1:14" x14ac:dyDescent="0.3">
      <c r="A206" s="8" t="s">
        <v>324</v>
      </c>
      <c r="B206" s="2" t="s">
        <v>51</v>
      </c>
      <c r="C206" s="2" t="s">
        <v>60</v>
      </c>
      <c r="D206" s="2" t="s">
        <v>21</v>
      </c>
      <c r="E206" s="2" t="s">
        <v>22</v>
      </c>
      <c r="F206" s="2" t="s">
        <v>61</v>
      </c>
      <c r="G206" s="16">
        <v>108</v>
      </c>
      <c r="H206" s="16">
        <v>999</v>
      </c>
      <c r="I206" s="16">
        <v>107892</v>
      </c>
      <c r="J206" s="16">
        <v>111814</v>
      </c>
      <c r="K206" s="16">
        <v>14.3</v>
      </c>
      <c r="L206" s="16">
        <v>3</v>
      </c>
      <c r="M206" s="17">
        <f>Table4[[#This Row],[Total_Sales_INR]]*0.2</f>
        <v>21578.400000000001</v>
      </c>
      <c r="N206" s="18">
        <v>121548</v>
      </c>
    </row>
    <row r="207" spans="1:14" x14ac:dyDescent="0.3">
      <c r="A207" s="9" t="s">
        <v>325</v>
      </c>
      <c r="B207" s="10" t="s">
        <v>105</v>
      </c>
      <c r="C207" s="10" t="s">
        <v>16</v>
      </c>
      <c r="D207" s="10" t="s">
        <v>21</v>
      </c>
      <c r="E207" s="10" t="s">
        <v>25</v>
      </c>
      <c r="F207" s="10" t="s">
        <v>39</v>
      </c>
      <c r="G207" s="19">
        <v>162</v>
      </c>
      <c r="H207" s="19">
        <v>999</v>
      </c>
      <c r="I207" s="19">
        <v>161838</v>
      </c>
      <c r="J207" s="19">
        <v>178964</v>
      </c>
      <c r="K207" s="19">
        <v>0.3</v>
      </c>
      <c r="L207" s="19">
        <v>4</v>
      </c>
      <c r="M207" s="20">
        <f>Table4[[#This Row],[Total_Sales_INR]]*0.2</f>
        <v>32367.600000000002</v>
      </c>
      <c r="N207" s="18">
        <v>163989</v>
      </c>
    </row>
    <row r="208" spans="1:14" x14ac:dyDescent="0.3">
      <c r="A208" s="8" t="s">
        <v>326</v>
      </c>
      <c r="B208" s="2" t="s">
        <v>183</v>
      </c>
      <c r="C208" s="2" t="s">
        <v>38</v>
      </c>
      <c r="D208" s="2" t="s">
        <v>21</v>
      </c>
      <c r="E208" s="2" t="s">
        <v>25</v>
      </c>
      <c r="F208" s="2" t="s">
        <v>26</v>
      </c>
      <c r="G208" s="16">
        <v>42</v>
      </c>
      <c r="H208" s="16">
        <v>4999</v>
      </c>
      <c r="I208" s="16">
        <v>209958</v>
      </c>
      <c r="J208" s="16">
        <v>194000</v>
      </c>
      <c r="K208" s="16">
        <v>5.3</v>
      </c>
      <c r="L208" s="16">
        <v>3</v>
      </c>
      <c r="M208" s="17">
        <f>Table4[[#This Row],[Total_Sales_INR]]*0.2</f>
        <v>41991.600000000006</v>
      </c>
      <c r="N208" s="18">
        <v>234503</v>
      </c>
    </row>
    <row r="209" spans="1:14" x14ac:dyDescent="0.3">
      <c r="A209" s="9" t="s">
        <v>377</v>
      </c>
      <c r="B209" s="10" t="s">
        <v>183</v>
      </c>
      <c r="C209" s="10" t="s">
        <v>38</v>
      </c>
      <c r="D209" s="10" t="s">
        <v>24</v>
      </c>
      <c r="E209" s="10" t="s">
        <v>46</v>
      </c>
      <c r="F209" s="10" t="s">
        <v>26</v>
      </c>
      <c r="G209" s="19">
        <v>80</v>
      </c>
      <c r="H209" s="19">
        <v>14999</v>
      </c>
      <c r="I209" s="19">
        <v>1199920</v>
      </c>
      <c r="J209" s="19">
        <v>1412090</v>
      </c>
      <c r="K209" s="19">
        <v>12</v>
      </c>
      <c r="L209" s="19">
        <v>2</v>
      </c>
      <c r="M209" s="20">
        <f>Table4[[#This Row],[Total_Sales_INR]]*0.2</f>
        <v>239984</v>
      </c>
      <c r="N209" s="18">
        <v>1314413</v>
      </c>
    </row>
    <row r="210" spans="1:14" x14ac:dyDescent="0.3">
      <c r="A210" s="8" t="s">
        <v>328</v>
      </c>
      <c r="B210" s="2" t="s">
        <v>79</v>
      </c>
      <c r="C210" s="2" t="s">
        <v>48</v>
      </c>
      <c r="D210" s="2" t="s">
        <v>24</v>
      </c>
      <c r="E210" s="2" t="s">
        <v>29</v>
      </c>
      <c r="F210" s="2" t="s">
        <v>57</v>
      </c>
      <c r="G210" s="16">
        <v>40</v>
      </c>
      <c r="H210" s="16">
        <v>4999</v>
      </c>
      <c r="I210" s="16">
        <v>199960</v>
      </c>
      <c r="J210" s="16">
        <v>188105</v>
      </c>
      <c r="K210" s="16">
        <v>5.3</v>
      </c>
      <c r="L210" s="16">
        <v>1</v>
      </c>
      <c r="M210" s="17">
        <f>Table4[[#This Row],[Total_Sales_INR]]*0.2</f>
        <v>39992</v>
      </c>
      <c r="N210" s="18">
        <v>215012</v>
      </c>
    </row>
    <row r="211" spans="1:14" x14ac:dyDescent="0.3">
      <c r="A211" s="9" t="s">
        <v>329</v>
      </c>
      <c r="B211" s="10" t="s">
        <v>183</v>
      </c>
      <c r="C211" s="10" t="s">
        <v>38</v>
      </c>
      <c r="D211" s="10" t="s">
        <v>45</v>
      </c>
      <c r="E211" s="10" t="s">
        <v>18</v>
      </c>
      <c r="F211" s="10" t="s">
        <v>61</v>
      </c>
      <c r="G211" s="19">
        <v>79</v>
      </c>
      <c r="H211" s="19">
        <v>499</v>
      </c>
      <c r="I211" s="19">
        <v>39421</v>
      </c>
      <c r="J211" s="19">
        <v>42473</v>
      </c>
      <c r="K211" s="19">
        <v>4.7</v>
      </c>
      <c r="L211" s="19">
        <v>4</v>
      </c>
      <c r="M211" s="20">
        <f>Table4[[#This Row],[Total_Sales_INR]]*0.2</f>
        <v>7884.2000000000007</v>
      </c>
      <c r="N211" s="18">
        <v>32027</v>
      </c>
    </row>
    <row r="212" spans="1:14" x14ac:dyDescent="0.3">
      <c r="A212" s="8" t="s">
        <v>330</v>
      </c>
      <c r="B212" s="2" t="s">
        <v>183</v>
      </c>
      <c r="C212" s="2" t="s">
        <v>48</v>
      </c>
      <c r="D212" s="2" t="s">
        <v>17</v>
      </c>
      <c r="E212" s="2" t="s">
        <v>22</v>
      </c>
      <c r="F212" s="2" t="s">
        <v>57</v>
      </c>
      <c r="G212" s="16">
        <v>83</v>
      </c>
      <c r="H212" s="16">
        <v>1499</v>
      </c>
      <c r="I212" s="16">
        <v>124417</v>
      </c>
      <c r="J212" s="16">
        <v>114107</v>
      </c>
      <c r="K212" s="16">
        <v>9.1</v>
      </c>
      <c r="L212" s="16">
        <v>0</v>
      </c>
      <c r="M212" s="17">
        <f>Table4[[#This Row],[Total_Sales_INR]]*0.2</f>
        <v>24883.4</v>
      </c>
      <c r="N212" s="18">
        <v>120644</v>
      </c>
    </row>
    <row r="213" spans="1:14" x14ac:dyDescent="0.3">
      <c r="A213" s="9" t="s">
        <v>331</v>
      </c>
      <c r="B213" s="10" t="s">
        <v>15</v>
      </c>
      <c r="C213" s="10" t="s">
        <v>38</v>
      </c>
      <c r="D213" s="10" t="s">
        <v>21</v>
      </c>
      <c r="E213" s="10" t="s">
        <v>46</v>
      </c>
      <c r="F213" s="10" t="s">
        <v>35</v>
      </c>
      <c r="G213" s="19">
        <v>128</v>
      </c>
      <c r="H213" s="19">
        <v>4999</v>
      </c>
      <c r="I213" s="19">
        <v>639872</v>
      </c>
      <c r="J213" s="19">
        <v>567147</v>
      </c>
      <c r="K213" s="19">
        <v>6.5</v>
      </c>
      <c r="L213" s="19">
        <v>6</v>
      </c>
      <c r="M213" s="20">
        <f>Table4[[#This Row],[Total_Sales_INR]]*0.2</f>
        <v>127974.40000000001</v>
      </c>
      <c r="N213" s="18">
        <v>549386</v>
      </c>
    </row>
    <row r="214" spans="1:14" x14ac:dyDescent="0.3">
      <c r="A214" s="8" t="s">
        <v>332</v>
      </c>
      <c r="B214" s="2" t="s">
        <v>183</v>
      </c>
      <c r="C214" s="2" t="s">
        <v>48</v>
      </c>
      <c r="D214" s="2" t="s">
        <v>24</v>
      </c>
      <c r="E214" s="2" t="s">
        <v>25</v>
      </c>
      <c r="F214" s="2" t="s">
        <v>26</v>
      </c>
      <c r="G214" s="16">
        <v>103</v>
      </c>
      <c r="H214" s="16">
        <v>2499</v>
      </c>
      <c r="I214" s="16">
        <v>257397</v>
      </c>
      <c r="J214" s="16">
        <v>247835</v>
      </c>
      <c r="K214" s="16">
        <v>5.0999999999999996</v>
      </c>
      <c r="L214" s="16">
        <v>0</v>
      </c>
      <c r="M214" s="17">
        <f>Table4[[#This Row],[Total_Sales_INR]]*0.2</f>
        <v>51479.4</v>
      </c>
      <c r="N214" s="18">
        <v>244528</v>
      </c>
    </row>
    <row r="215" spans="1:14" x14ac:dyDescent="0.3">
      <c r="A215" s="9" t="s">
        <v>333</v>
      </c>
      <c r="B215" s="10" t="s">
        <v>15</v>
      </c>
      <c r="C215" s="10" t="s">
        <v>60</v>
      </c>
      <c r="D215" s="10" t="s">
        <v>21</v>
      </c>
      <c r="E215" s="10" t="s">
        <v>25</v>
      </c>
      <c r="F215" s="10" t="s">
        <v>140</v>
      </c>
      <c r="G215" s="19">
        <v>80</v>
      </c>
      <c r="H215" s="19">
        <v>9999</v>
      </c>
      <c r="I215" s="19">
        <v>799920</v>
      </c>
      <c r="J215" s="19">
        <v>915337</v>
      </c>
      <c r="K215" s="19">
        <v>13.1</v>
      </c>
      <c r="L215" s="19">
        <v>6</v>
      </c>
      <c r="M215" s="20">
        <f>Table4[[#This Row],[Total_Sales_INR]]*0.2</f>
        <v>159984</v>
      </c>
      <c r="N215" s="18">
        <v>645644</v>
      </c>
    </row>
    <row r="216" spans="1:14" x14ac:dyDescent="0.3">
      <c r="A216" s="8" t="s">
        <v>334</v>
      </c>
      <c r="B216" s="2" t="s">
        <v>183</v>
      </c>
      <c r="C216" s="2" t="s">
        <v>48</v>
      </c>
      <c r="D216" s="2" t="s">
        <v>45</v>
      </c>
      <c r="E216" s="2" t="s">
        <v>25</v>
      </c>
      <c r="F216" s="2" t="s">
        <v>26</v>
      </c>
      <c r="G216" s="16">
        <v>169</v>
      </c>
      <c r="H216" s="16">
        <v>2499</v>
      </c>
      <c r="I216" s="16">
        <v>422331</v>
      </c>
      <c r="J216" s="16">
        <v>410024</v>
      </c>
      <c r="K216" s="16">
        <v>3.8</v>
      </c>
      <c r="L216" s="16">
        <v>6</v>
      </c>
      <c r="M216" s="17">
        <f>Table4[[#This Row],[Total_Sales_INR]]*0.2</f>
        <v>84466.200000000012</v>
      </c>
      <c r="N216" s="18">
        <v>423500</v>
      </c>
    </row>
    <row r="217" spans="1:14" x14ac:dyDescent="0.3">
      <c r="A217" s="9" t="s">
        <v>335</v>
      </c>
      <c r="B217" s="10" t="s">
        <v>183</v>
      </c>
      <c r="C217" s="10" t="s">
        <v>60</v>
      </c>
      <c r="D217" s="10" t="s">
        <v>17</v>
      </c>
      <c r="E217" s="10" t="s">
        <v>18</v>
      </c>
      <c r="F217" s="10" t="s">
        <v>39</v>
      </c>
      <c r="G217" s="19">
        <v>171</v>
      </c>
      <c r="H217" s="19">
        <v>1499</v>
      </c>
      <c r="I217" s="19">
        <v>256329</v>
      </c>
      <c r="J217" s="19">
        <v>284651</v>
      </c>
      <c r="K217" s="19">
        <v>5.8</v>
      </c>
      <c r="L217" s="19">
        <v>12</v>
      </c>
      <c r="M217" s="20">
        <f>Table4[[#This Row],[Total_Sales_INR]]*0.2</f>
        <v>51265.8</v>
      </c>
      <c r="N217" s="18">
        <v>249331</v>
      </c>
    </row>
    <row r="218" spans="1:14" x14ac:dyDescent="0.3">
      <c r="A218" s="8" t="s">
        <v>336</v>
      </c>
      <c r="B218" s="2" t="s">
        <v>183</v>
      </c>
      <c r="C218" s="2" t="s">
        <v>38</v>
      </c>
      <c r="D218" s="2" t="s">
        <v>24</v>
      </c>
      <c r="E218" s="2" t="s">
        <v>22</v>
      </c>
      <c r="F218" s="2" t="s">
        <v>57</v>
      </c>
      <c r="G218" s="16">
        <v>14</v>
      </c>
      <c r="H218" s="16">
        <v>4999</v>
      </c>
      <c r="I218" s="16">
        <v>69986</v>
      </c>
      <c r="J218" s="16">
        <v>77408</v>
      </c>
      <c r="K218" s="16">
        <v>10.3</v>
      </c>
      <c r="L218" s="16">
        <v>0</v>
      </c>
      <c r="M218" s="17">
        <f>Table4[[#This Row],[Total_Sales_INR]]*0.2</f>
        <v>13997.2</v>
      </c>
      <c r="N218" s="18">
        <v>76708</v>
      </c>
    </row>
    <row r="219" spans="1:14" x14ac:dyDescent="0.3">
      <c r="A219" s="9" t="s">
        <v>337</v>
      </c>
      <c r="B219" s="10" t="s">
        <v>183</v>
      </c>
      <c r="C219" s="10" t="s">
        <v>60</v>
      </c>
      <c r="D219" s="10" t="s">
        <v>24</v>
      </c>
      <c r="E219" s="10" t="s">
        <v>22</v>
      </c>
      <c r="F219" s="10" t="s">
        <v>39</v>
      </c>
      <c r="G219" s="19">
        <v>102</v>
      </c>
      <c r="H219" s="19">
        <v>9999</v>
      </c>
      <c r="I219" s="19">
        <v>1019898</v>
      </c>
      <c r="J219" s="19">
        <v>1209888</v>
      </c>
      <c r="K219" s="19">
        <v>2.7</v>
      </c>
      <c r="L219" s="19">
        <v>4</v>
      </c>
      <c r="M219" s="20">
        <f>Table4[[#This Row],[Total_Sales_INR]]*0.2</f>
        <v>203979.6</v>
      </c>
      <c r="N219" s="18">
        <v>878231</v>
      </c>
    </row>
    <row r="220" spans="1:14" x14ac:dyDescent="0.3">
      <c r="A220" s="8" t="s">
        <v>338</v>
      </c>
      <c r="B220" s="2" t="s">
        <v>15</v>
      </c>
      <c r="C220" s="2" t="s">
        <v>38</v>
      </c>
      <c r="D220" s="2" t="s">
        <v>17</v>
      </c>
      <c r="E220" s="2" t="s">
        <v>29</v>
      </c>
      <c r="F220" s="2" t="s">
        <v>103</v>
      </c>
      <c r="G220" s="16">
        <v>122</v>
      </c>
      <c r="H220" s="16">
        <v>1499</v>
      </c>
      <c r="I220" s="16">
        <v>182878</v>
      </c>
      <c r="J220" s="16">
        <v>161463</v>
      </c>
      <c r="K220" s="16">
        <v>1.5</v>
      </c>
      <c r="L220" s="16">
        <v>0</v>
      </c>
      <c r="M220" s="17">
        <f>Table4[[#This Row],[Total_Sales_INR]]*0.2</f>
        <v>36575.599999999999</v>
      </c>
      <c r="N220" s="18">
        <v>161196</v>
      </c>
    </row>
    <row r="221" spans="1:14" x14ac:dyDescent="0.3">
      <c r="A221" s="9" t="s">
        <v>339</v>
      </c>
      <c r="B221" s="10" t="s">
        <v>183</v>
      </c>
      <c r="C221" s="10" t="s">
        <v>60</v>
      </c>
      <c r="D221" s="10" t="s">
        <v>45</v>
      </c>
      <c r="E221" s="10" t="s">
        <v>46</v>
      </c>
      <c r="F221" s="10" t="s">
        <v>39</v>
      </c>
      <c r="G221" s="19">
        <v>29</v>
      </c>
      <c r="H221" s="19">
        <v>9999</v>
      </c>
      <c r="I221" s="19">
        <v>289971</v>
      </c>
      <c r="J221" s="19">
        <v>301243</v>
      </c>
      <c r="K221" s="19">
        <v>6.5</v>
      </c>
      <c r="L221" s="19">
        <v>1</v>
      </c>
      <c r="M221" s="20">
        <f>Table4[[#This Row],[Total_Sales_INR]]*0.2</f>
        <v>57994.200000000004</v>
      </c>
      <c r="N221" s="18">
        <v>241912</v>
      </c>
    </row>
    <row r="222" spans="1:14" x14ac:dyDescent="0.3">
      <c r="A222" s="8" t="s">
        <v>340</v>
      </c>
      <c r="B222" s="2" t="s">
        <v>86</v>
      </c>
      <c r="C222" s="2" t="s">
        <v>16</v>
      </c>
      <c r="D222" s="2" t="s">
        <v>17</v>
      </c>
      <c r="E222" s="2" t="s">
        <v>18</v>
      </c>
      <c r="F222" s="2" t="s">
        <v>19</v>
      </c>
      <c r="G222" s="16">
        <v>127</v>
      </c>
      <c r="H222" s="16">
        <v>9999</v>
      </c>
      <c r="I222" s="16">
        <v>1269873</v>
      </c>
      <c r="J222" s="16">
        <v>1448368</v>
      </c>
      <c r="K222" s="16">
        <v>10.5</v>
      </c>
      <c r="L222" s="16">
        <v>9</v>
      </c>
      <c r="M222" s="17">
        <f>Table4[[#This Row],[Total_Sales_INR]]*0.2</f>
        <v>253974.6</v>
      </c>
      <c r="N222" s="18">
        <v>1016497</v>
      </c>
    </row>
    <row r="223" spans="1:14" x14ac:dyDescent="0.3">
      <c r="A223" s="9" t="s">
        <v>341</v>
      </c>
      <c r="B223" s="10" t="s">
        <v>86</v>
      </c>
      <c r="C223" s="10" t="s">
        <v>16</v>
      </c>
      <c r="D223" s="10" t="s">
        <v>21</v>
      </c>
      <c r="E223" s="10" t="s">
        <v>22</v>
      </c>
      <c r="F223" s="10" t="s">
        <v>19</v>
      </c>
      <c r="G223" s="19">
        <v>32</v>
      </c>
      <c r="H223" s="19">
        <v>9999</v>
      </c>
      <c r="I223" s="19">
        <v>319968</v>
      </c>
      <c r="J223" s="19">
        <v>333179</v>
      </c>
      <c r="K223" s="19">
        <v>13.8</v>
      </c>
      <c r="L223" s="19">
        <v>2</v>
      </c>
      <c r="M223" s="20">
        <f>Table4[[#This Row],[Total_Sales_INR]]*0.2</f>
        <v>63993.600000000006</v>
      </c>
      <c r="N223" s="18">
        <v>288498</v>
      </c>
    </row>
    <row r="224" spans="1:14" x14ac:dyDescent="0.3">
      <c r="A224" s="8" t="s">
        <v>342</v>
      </c>
      <c r="B224" s="2" t="s">
        <v>86</v>
      </c>
      <c r="C224" s="2" t="s">
        <v>16</v>
      </c>
      <c r="D224" s="2" t="s">
        <v>24</v>
      </c>
      <c r="E224" s="2" t="s">
        <v>29</v>
      </c>
      <c r="F224" s="2" t="s">
        <v>19</v>
      </c>
      <c r="G224" s="16">
        <v>105</v>
      </c>
      <c r="H224" s="16">
        <v>24999</v>
      </c>
      <c r="I224" s="16">
        <v>2624895</v>
      </c>
      <c r="J224" s="16">
        <v>2379736</v>
      </c>
      <c r="K224" s="16">
        <v>5.5</v>
      </c>
      <c r="L224" s="16">
        <v>1</v>
      </c>
      <c r="M224" s="17">
        <f>Table4[[#This Row],[Total_Sales_INR]]*0.2</f>
        <v>524979</v>
      </c>
      <c r="N224" s="18">
        <v>2818813</v>
      </c>
    </row>
    <row r="225" spans="1:14" x14ac:dyDescent="0.3">
      <c r="A225" s="9" t="s">
        <v>343</v>
      </c>
      <c r="B225" s="10" t="s">
        <v>86</v>
      </c>
      <c r="C225" s="10" t="s">
        <v>16</v>
      </c>
      <c r="D225" s="10" t="s">
        <v>28</v>
      </c>
      <c r="E225" s="10" t="s">
        <v>22</v>
      </c>
      <c r="F225" s="10" t="s">
        <v>19</v>
      </c>
      <c r="G225" s="19">
        <v>144</v>
      </c>
      <c r="H225" s="19">
        <v>999</v>
      </c>
      <c r="I225" s="19">
        <v>143856</v>
      </c>
      <c r="J225" s="19">
        <v>154524</v>
      </c>
      <c r="K225" s="19">
        <v>4.5999999999999996</v>
      </c>
      <c r="L225" s="19">
        <v>10</v>
      </c>
      <c r="M225" s="20">
        <f>Table4[[#This Row],[Total_Sales_INR]]*0.2</f>
        <v>28771.200000000001</v>
      </c>
      <c r="N225" s="18">
        <v>162637</v>
      </c>
    </row>
    <row r="226" spans="1:14" x14ac:dyDescent="0.3">
      <c r="A226" s="8" t="s">
        <v>344</v>
      </c>
      <c r="B226" s="2" t="s">
        <v>86</v>
      </c>
      <c r="C226" s="2" t="s">
        <v>16</v>
      </c>
      <c r="D226" s="2" t="s">
        <v>45</v>
      </c>
      <c r="E226" s="2" t="s">
        <v>22</v>
      </c>
      <c r="F226" s="2" t="s">
        <v>39</v>
      </c>
      <c r="G226" s="16">
        <v>56</v>
      </c>
      <c r="H226" s="16">
        <v>9999</v>
      </c>
      <c r="I226" s="16">
        <v>559944</v>
      </c>
      <c r="J226" s="16">
        <v>570197</v>
      </c>
      <c r="K226" s="16">
        <v>15</v>
      </c>
      <c r="L226" s="16">
        <v>2</v>
      </c>
      <c r="M226" s="17">
        <f>Table4[[#This Row],[Total_Sales_INR]]*0.2</f>
        <v>111988.8</v>
      </c>
      <c r="N226" s="18">
        <v>457272</v>
      </c>
    </row>
    <row r="227" spans="1:14" x14ac:dyDescent="0.3">
      <c r="A227" s="9" t="s">
        <v>345</v>
      </c>
      <c r="B227" s="10" t="s">
        <v>86</v>
      </c>
      <c r="C227" s="10" t="s">
        <v>38</v>
      </c>
      <c r="D227" s="10" t="s">
        <v>17</v>
      </c>
      <c r="E227" s="10" t="s">
        <v>18</v>
      </c>
      <c r="F227" s="10" t="s">
        <v>19</v>
      </c>
      <c r="G227" s="19">
        <v>49</v>
      </c>
      <c r="H227" s="19">
        <v>1499</v>
      </c>
      <c r="I227" s="19">
        <v>73451</v>
      </c>
      <c r="J227" s="19">
        <v>77812</v>
      </c>
      <c r="K227" s="19">
        <v>0</v>
      </c>
      <c r="L227" s="19">
        <v>3</v>
      </c>
      <c r="M227" s="20">
        <f>Table4[[#This Row],[Total_Sales_INR]]*0.2</f>
        <v>14690.2</v>
      </c>
      <c r="N227" s="18">
        <v>72008</v>
      </c>
    </row>
    <row r="228" spans="1:14" x14ac:dyDescent="0.3">
      <c r="A228" s="8" t="s">
        <v>346</v>
      </c>
      <c r="B228" s="2" t="s">
        <v>86</v>
      </c>
      <c r="C228" s="2" t="s">
        <v>38</v>
      </c>
      <c r="D228" s="2" t="s">
        <v>21</v>
      </c>
      <c r="E228" s="2" t="s">
        <v>22</v>
      </c>
      <c r="F228" s="2" t="s">
        <v>26</v>
      </c>
      <c r="G228" s="16">
        <v>88</v>
      </c>
      <c r="H228" s="16">
        <v>9999</v>
      </c>
      <c r="I228" s="16">
        <v>879912</v>
      </c>
      <c r="J228" s="16">
        <v>787781</v>
      </c>
      <c r="K228" s="16">
        <v>2.2000000000000002</v>
      </c>
      <c r="L228" s="16">
        <v>0</v>
      </c>
      <c r="M228" s="17">
        <f>Table4[[#This Row],[Total_Sales_INR]]*0.2</f>
        <v>175982.40000000002</v>
      </c>
      <c r="N228" s="18">
        <v>899446</v>
      </c>
    </row>
    <row r="229" spans="1:14" x14ac:dyDescent="0.3">
      <c r="A229" s="9" t="s">
        <v>347</v>
      </c>
      <c r="B229" s="10" t="s">
        <v>86</v>
      </c>
      <c r="C229" s="10" t="s">
        <v>38</v>
      </c>
      <c r="D229" s="10" t="s">
        <v>24</v>
      </c>
      <c r="E229" s="10" t="s">
        <v>22</v>
      </c>
      <c r="F229" s="10" t="s">
        <v>19</v>
      </c>
      <c r="G229" s="19">
        <v>127</v>
      </c>
      <c r="H229" s="19">
        <v>24999</v>
      </c>
      <c r="I229" s="19">
        <v>3174873</v>
      </c>
      <c r="J229" s="19">
        <v>3054002</v>
      </c>
      <c r="K229" s="19">
        <v>3.9</v>
      </c>
      <c r="L229" s="19">
        <v>7</v>
      </c>
      <c r="M229" s="20">
        <f>Table4[[#This Row],[Total_Sales_INR]]*0.2</f>
        <v>634974.60000000009</v>
      </c>
      <c r="N229" s="18">
        <v>3631500</v>
      </c>
    </row>
    <row r="230" spans="1:14" x14ac:dyDescent="0.3">
      <c r="A230" s="8" t="s">
        <v>348</v>
      </c>
      <c r="B230" s="2" t="s">
        <v>86</v>
      </c>
      <c r="C230" s="2" t="s">
        <v>38</v>
      </c>
      <c r="D230" s="2" t="s">
        <v>28</v>
      </c>
      <c r="E230" s="2" t="s">
        <v>46</v>
      </c>
      <c r="F230" s="2" t="s">
        <v>61</v>
      </c>
      <c r="G230" s="16">
        <v>116</v>
      </c>
      <c r="H230" s="16">
        <v>499</v>
      </c>
      <c r="I230" s="16">
        <v>57884</v>
      </c>
      <c r="J230" s="16">
        <v>52377</v>
      </c>
      <c r="K230" s="16">
        <v>14.7</v>
      </c>
      <c r="L230" s="16">
        <v>1</v>
      </c>
      <c r="M230" s="17">
        <f>Table4[[#This Row],[Total_Sales_INR]]*0.2</f>
        <v>11576.800000000001</v>
      </c>
      <c r="N230" s="18">
        <v>48085</v>
      </c>
    </row>
    <row r="231" spans="1:14" x14ac:dyDescent="0.3">
      <c r="A231" s="9" t="s">
        <v>349</v>
      </c>
      <c r="B231" s="10" t="s">
        <v>86</v>
      </c>
      <c r="C231" s="10" t="s">
        <v>38</v>
      </c>
      <c r="D231" s="10" t="s">
        <v>45</v>
      </c>
      <c r="E231" s="10" t="s">
        <v>18</v>
      </c>
      <c r="F231" s="10" t="s">
        <v>39</v>
      </c>
      <c r="G231" s="19">
        <v>26</v>
      </c>
      <c r="H231" s="19">
        <v>24999</v>
      </c>
      <c r="I231" s="19">
        <v>649974</v>
      </c>
      <c r="J231" s="19">
        <v>609647</v>
      </c>
      <c r="K231" s="19">
        <v>3.6</v>
      </c>
      <c r="L231" s="19">
        <v>2</v>
      </c>
      <c r="M231" s="20">
        <f>Table4[[#This Row],[Total_Sales_INR]]*0.2</f>
        <v>129994.8</v>
      </c>
      <c r="N231" s="18">
        <v>684392</v>
      </c>
    </row>
    <row r="232" spans="1:14" x14ac:dyDescent="0.3">
      <c r="A232" s="8" t="s">
        <v>378</v>
      </c>
      <c r="B232" s="2" t="s">
        <v>86</v>
      </c>
      <c r="C232" s="2" t="s">
        <v>48</v>
      </c>
      <c r="D232" s="2" t="s">
        <v>17</v>
      </c>
      <c r="E232" s="2" t="s">
        <v>22</v>
      </c>
      <c r="F232" s="2" t="s">
        <v>26</v>
      </c>
      <c r="G232" s="16">
        <v>17</v>
      </c>
      <c r="H232" s="16">
        <v>1499</v>
      </c>
      <c r="I232" s="16">
        <v>25483</v>
      </c>
      <c r="J232" s="16">
        <v>27782</v>
      </c>
      <c r="K232" s="16">
        <v>4.9000000000000004</v>
      </c>
      <c r="L232" s="16">
        <v>1</v>
      </c>
      <c r="M232" s="17">
        <f>Table4[[#This Row],[Total_Sales_INR]]*0.2</f>
        <v>5096.6000000000004</v>
      </c>
      <c r="N232" s="18">
        <v>22667</v>
      </c>
    </row>
    <row r="233" spans="1:14" x14ac:dyDescent="0.3">
      <c r="A233" s="9" t="s">
        <v>379</v>
      </c>
      <c r="B233" s="10" t="s">
        <v>126</v>
      </c>
      <c r="C233" s="10" t="s">
        <v>48</v>
      </c>
      <c r="D233" s="10" t="s">
        <v>21</v>
      </c>
      <c r="E233" s="10" t="s">
        <v>29</v>
      </c>
      <c r="F233" s="10" t="s">
        <v>19</v>
      </c>
      <c r="G233" s="19">
        <v>160</v>
      </c>
      <c r="H233" s="19">
        <v>14999</v>
      </c>
      <c r="I233" s="19">
        <v>2399840</v>
      </c>
      <c r="J233" s="19">
        <v>2388452</v>
      </c>
      <c r="K233" s="19">
        <v>14.9</v>
      </c>
      <c r="L233" s="19">
        <v>2</v>
      </c>
      <c r="M233" s="20">
        <f>Table4[[#This Row],[Total_Sales_INR]]*0.2</f>
        <v>479968</v>
      </c>
      <c r="N233" s="18">
        <v>2603363</v>
      </c>
    </row>
    <row r="234" spans="1:14" x14ac:dyDescent="0.3">
      <c r="A234" s="8" t="s">
        <v>352</v>
      </c>
      <c r="B234" s="2" t="s">
        <v>15</v>
      </c>
      <c r="C234" s="2" t="s">
        <v>48</v>
      </c>
      <c r="D234" s="2" t="s">
        <v>24</v>
      </c>
      <c r="E234" s="2" t="s">
        <v>46</v>
      </c>
      <c r="F234" s="2" t="s">
        <v>39</v>
      </c>
      <c r="G234" s="16">
        <v>88</v>
      </c>
      <c r="H234" s="16">
        <v>14999</v>
      </c>
      <c r="I234" s="16">
        <v>1319912</v>
      </c>
      <c r="J234" s="16">
        <v>1134641</v>
      </c>
      <c r="K234" s="16">
        <v>7.4</v>
      </c>
      <c r="L234" s="16">
        <v>0</v>
      </c>
      <c r="M234" s="17">
        <f>Table4[[#This Row],[Total_Sales_INR]]*0.2</f>
        <v>263982.40000000002</v>
      </c>
      <c r="N234" s="18">
        <v>1257099</v>
      </c>
    </row>
    <row r="235" spans="1:14" x14ac:dyDescent="0.3">
      <c r="A235" s="9" t="s">
        <v>353</v>
      </c>
      <c r="B235" s="10" t="s">
        <v>86</v>
      </c>
      <c r="C235" s="10" t="s">
        <v>60</v>
      </c>
      <c r="D235" s="10" t="s">
        <v>21</v>
      </c>
      <c r="E235" s="10" t="s">
        <v>18</v>
      </c>
      <c r="F235" s="10" t="s">
        <v>19</v>
      </c>
      <c r="G235" s="19">
        <v>23</v>
      </c>
      <c r="H235" s="19">
        <v>9999</v>
      </c>
      <c r="I235" s="19">
        <v>229977</v>
      </c>
      <c r="J235" s="19">
        <v>236574</v>
      </c>
      <c r="K235" s="19">
        <v>1</v>
      </c>
      <c r="L235" s="19">
        <v>0</v>
      </c>
      <c r="M235" s="20">
        <f>Table4[[#This Row],[Total_Sales_INR]]*0.2</f>
        <v>45995.4</v>
      </c>
      <c r="N235" s="18">
        <v>252886</v>
      </c>
    </row>
    <row r="236" spans="1:14" x14ac:dyDescent="0.3">
      <c r="A236" s="8" t="s">
        <v>354</v>
      </c>
      <c r="B236" s="2" t="s">
        <v>15</v>
      </c>
      <c r="C236" s="2" t="s">
        <v>38</v>
      </c>
      <c r="D236" s="2" t="s">
        <v>45</v>
      </c>
      <c r="E236" s="10" t="s">
        <v>18</v>
      </c>
      <c r="F236" s="2" t="s">
        <v>26</v>
      </c>
      <c r="G236" s="16">
        <v>78</v>
      </c>
      <c r="H236" s="16">
        <v>2499</v>
      </c>
      <c r="I236" s="16">
        <v>194922</v>
      </c>
      <c r="J236" s="16">
        <v>179833</v>
      </c>
      <c r="K236" s="16">
        <v>12.1</v>
      </c>
      <c r="L236" s="16">
        <v>3</v>
      </c>
      <c r="M236" s="17">
        <f>Table4[[#This Row],[Total_Sales_INR]]*0.2</f>
        <v>38984.400000000001</v>
      </c>
      <c r="N236" s="18">
        <v>162457</v>
      </c>
    </row>
    <row r="237" spans="1:14" x14ac:dyDescent="0.3">
      <c r="A237" s="9" t="s">
        <v>355</v>
      </c>
      <c r="B237" s="10" t="s">
        <v>126</v>
      </c>
      <c r="C237" s="10" t="s">
        <v>16</v>
      </c>
      <c r="D237" s="10" t="s">
        <v>45</v>
      </c>
      <c r="E237" s="2" t="s">
        <v>46</v>
      </c>
      <c r="F237" s="10" t="s">
        <v>26</v>
      </c>
      <c r="G237" s="19">
        <v>33</v>
      </c>
      <c r="H237" s="19">
        <v>499</v>
      </c>
      <c r="I237" s="19">
        <v>16467</v>
      </c>
      <c r="J237" s="19">
        <v>15962</v>
      </c>
      <c r="K237" s="19">
        <v>1.8</v>
      </c>
      <c r="L237" s="19">
        <v>0</v>
      </c>
      <c r="M237" s="20">
        <f>Table4[[#This Row],[Total_Sales_INR]]*0.2</f>
        <v>3293.4</v>
      </c>
      <c r="N237" s="18">
        <v>13437</v>
      </c>
    </row>
    <row r="238" spans="1:14" x14ac:dyDescent="0.3">
      <c r="A238" s="8" t="s">
        <v>356</v>
      </c>
      <c r="B238" s="2" t="s">
        <v>86</v>
      </c>
      <c r="C238" s="2" t="s">
        <v>60</v>
      </c>
      <c r="D238" s="2" t="s">
        <v>21</v>
      </c>
      <c r="E238" s="2" t="s">
        <v>18</v>
      </c>
      <c r="F238" s="2" t="s">
        <v>19</v>
      </c>
      <c r="G238" s="16">
        <v>194</v>
      </c>
      <c r="H238" s="16">
        <v>4999</v>
      </c>
      <c r="I238" s="16">
        <v>969806</v>
      </c>
      <c r="J238" s="16">
        <v>905396</v>
      </c>
      <c r="K238" s="16">
        <v>14.7</v>
      </c>
      <c r="L238" s="16">
        <v>9</v>
      </c>
      <c r="M238" s="17">
        <f>Table4[[#This Row],[Total_Sales_INR]]*0.2</f>
        <v>193961.2</v>
      </c>
      <c r="N238" s="18">
        <v>857712</v>
      </c>
    </row>
    <row r="239" spans="1:14" x14ac:dyDescent="0.3">
      <c r="A239" s="9" t="s">
        <v>357</v>
      </c>
      <c r="B239" s="10" t="s">
        <v>86</v>
      </c>
      <c r="C239" s="10" t="s">
        <v>60</v>
      </c>
      <c r="D239" s="10" t="s">
        <v>24</v>
      </c>
      <c r="E239" s="10" t="s">
        <v>29</v>
      </c>
      <c r="F239" s="10" t="s">
        <v>26</v>
      </c>
      <c r="G239" s="19">
        <v>187</v>
      </c>
      <c r="H239" s="19">
        <v>4999</v>
      </c>
      <c r="I239" s="19">
        <v>934813</v>
      </c>
      <c r="J239" s="19">
        <v>965627</v>
      </c>
      <c r="K239" s="19">
        <v>0</v>
      </c>
      <c r="L239" s="19">
        <v>9</v>
      </c>
      <c r="M239" s="20">
        <f>Table4[[#This Row],[Total_Sales_INR]]*0.2</f>
        <v>186962.6</v>
      </c>
      <c r="N239" s="18">
        <v>953674</v>
      </c>
    </row>
    <row r="240" spans="1:14" x14ac:dyDescent="0.3">
      <c r="A240" s="8" t="s">
        <v>358</v>
      </c>
      <c r="B240" s="2" t="s">
        <v>86</v>
      </c>
      <c r="C240" s="2" t="s">
        <v>60</v>
      </c>
      <c r="D240" s="2" t="s">
        <v>28</v>
      </c>
      <c r="E240" s="2" t="s">
        <v>22</v>
      </c>
      <c r="F240" s="2" t="s">
        <v>26</v>
      </c>
      <c r="G240" s="16">
        <v>99</v>
      </c>
      <c r="H240" s="16">
        <v>9999</v>
      </c>
      <c r="I240" s="16">
        <v>989901</v>
      </c>
      <c r="J240" s="16">
        <v>1107404</v>
      </c>
      <c r="K240" s="16">
        <v>0</v>
      </c>
      <c r="L240" s="16">
        <v>1</v>
      </c>
      <c r="M240" s="17">
        <f>Table4[[#This Row],[Total_Sales_INR]]*0.2</f>
        <v>197980.2</v>
      </c>
      <c r="N240" s="18">
        <v>1077677</v>
      </c>
    </row>
    <row r="241" spans="1:14" x14ac:dyDescent="0.3">
      <c r="A241" s="9" t="s">
        <v>359</v>
      </c>
      <c r="B241" s="10" t="s">
        <v>15</v>
      </c>
      <c r="C241" s="10" t="s">
        <v>60</v>
      </c>
      <c r="D241" s="10" t="s">
        <v>28</v>
      </c>
      <c r="E241" s="2" t="s">
        <v>46</v>
      </c>
      <c r="F241" s="10" t="s">
        <v>39</v>
      </c>
      <c r="G241" s="19">
        <v>133</v>
      </c>
      <c r="H241" s="19">
        <v>1499</v>
      </c>
      <c r="I241" s="19"/>
      <c r="J241" s="19">
        <v>238431</v>
      </c>
      <c r="K241" s="19">
        <v>13.3</v>
      </c>
      <c r="L241" s="19">
        <v>8</v>
      </c>
      <c r="M241" s="20">
        <f>Table4[[#This Row],[Total_Sales_INR]]*0.2</f>
        <v>0</v>
      </c>
      <c r="N241" s="18">
        <v>165952</v>
      </c>
    </row>
    <row r="242" spans="1:14" hidden="1" x14ac:dyDescent="0.3">
      <c r="A242" s="14"/>
      <c r="B242" s="15"/>
      <c r="C242" s="15"/>
      <c r="D242" s="15"/>
      <c r="E242" s="15"/>
      <c r="F242" s="15"/>
      <c r="G242" s="23"/>
      <c r="H242" s="23"/>
      <c r="I242" s="23" t="s">
        <v>380</v>
      </c>
      <c r="J242" s="23" t="s">
        <v>381</v>
      </c>
      <c r="K242" s="23"/>
      <c r="L242" s="23" t="s">
        <v>382</v>
      </c>
      <c r="M242" s="24" t="e">
        <f>Table4[[#This Row],[Total_Sales_INR]]*0.2</f>
        <v>#VALUE!</v>
      </c>
      <c r="N242" s="18"/>
    </row>
    <row r="243" spans="1:14" x14ac:dyDescent="0.3">
      <c r="G243">
        <f>SUM(G2:G242)</f>
        <v>23163</v>
      </c>
      <c r="H243">
        <f>SUM(H2:H242)</f>
        <v>1701260</v>
      </c>
      <c r="I243">
        <f>SUM(I2:I242)</f>
        <v>176711970</v>
      </c>
      <c r="J243">
        <f>SUM(J2:J242)</f>
        <v>181513753</v>
      </c>
      <c r="K243" t="s">
        <v>383</v>
      </c>
      <c r="L243">
        <f>SUM(L2:L242)</f>
        <v>913</v>
      </c>
      <c r="M243">
        <f>SUBTOTAL(109,Table4[Profit_INR])</f>
        <v>35342394</v>
      </c>
    </row>
    <row r="244" spans="1:14" x14ac:dyDescent="0.3">
      <c r="K244">
        <f>AVERAGE(K2:K241)</f>
        <v>7.0929166666666656</v>
      </c>
    </row>
    <row r="246" spans="1:14" x14ac:dyDescent="0.3">
      <c r="L246" t="s">
        <v>386</v>
      </c>
    </row>
    <row r="247" spans="1:14" x14ac:dyDescent="0.3">
      <c r="I247" t="s">
        <v>384</v>
      </c>
      <c r="J247" t="s">
        <v>385</v>
      </c>
      <c r="L247">
        <f>(SUM(I1:I241)-SUM(N1:N241))/SUM(N1:N241)*100</f>
        <v>2.1161665205961202</v>
      </c>
    </row>
    <row r="248" spans="1:14" x14ac:dyDescent="0.3">
      <c r="I248">
        <f>SUM(Table4[Total_Sales_INR])/SUM(J1:J241)*100</f>
        <v>97.354589985255828</v>
      </c>
      <c r="J248">
        <f>SUM(M1:M241)/SUM(I1:I241)*100</f>
        <v>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pviot table</vt:lpstr>
      <vt:lpstr>Dashboard</vt:lpstr>
      <vt:lpstr>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Lalitha Siriki</cp:lastModifiedBy>
  <dcterms:created xsi:type="dcterms:W3CDTF">2026-05-13T11:26:58Z</dcterms:created>
  <dcterms:modified xsi:type="dcterms:W3CDTF">2026-05-14T06:25:22Z</dcterms:modified>
</cp:coreProperties>
</file>